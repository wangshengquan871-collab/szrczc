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tables/table6.xml" ContentType="application/vnd.openxmlformats-officedocument.spreadsheetml.table+xml"/>
  <Override PartName="/xl/drawings/drawing3.xml" ContentType="application/vnd.openxmlformats-officedocument.drawing+xml"/>
  <Override PartName="/xl/tables/table7.xml" ContentType="application/vnd.openxmlformats-officedocument.spreadsheetml.table+xml"/>
  <Override PartName="/xl/charts/chart6.xml" ContentType="application/vnd.openxmlformats-officedocument.drawingml.chart+xml"/>
  <Override PartName="/xl/charts/chart7.xml" ContentType="application/vnd.openxmlformats-officedocument.drawingml.char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11811\Desktop\"/>
    </mc:Choice>
  </mc:AlternateContent>
  <xr:revisionPtr revIDLastSave="0" documentId="8_{B5512B6B-1C13-449A-A7C2-F097ADEDFECC}" xr6:coauthVersionLast="47" xr6:coauthVersionMax="47" xr10:uidLastSave="{00000000-0000-0000-0000-000000000000}"/>
  <bookViews>
    <workbookView xWindow="1360" yWindow="3070" windowWidth="16800" windowHeight="9670" tabRatio="500" xr2:uid="{00000000-000D-0000-FFFF-FFFF00000000}"/>
  </bookViews>
  <sheets>
    <sheet name="总览与理性分析" sheetId="1" r:id="rId1"/>
    <sheet name="金额排序与图表" sheetId="2" r:id="rId2"/>
    <sheet name="兑现与现金流" sheetId="3" r:id="rId3"/>
    <sheet name="申报条件与流程" sheetId="4" r:id="rId4"/>
    <sheet name="配套与住房" sheetId="5" r:id="rId5"/>
    <sheet name="历史数据与边界" sheetId="6" r:id="rId6"/>
    <sheet name="政策金额数据" sheetId="7" r:id="rId7"/>
    <sheet name="原文与来源索引"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L57" i="7" l="1"/>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B48" i="6"/>
  <c r="C48" i="6" s="1"/>
  <c r="C47" i="6"/>
  <c r="C46" i="6"/>
  <c r="C45" i="6"/>
  <c r="C44" i="6"/>
  <c r="L30" i="6"/>
  <c r="L29" i="6"/>
  <c r="L28" i="6"/>
  <c r="L27" i="6"/>
  <c r="L26" i="6"/>
  <c r="L25" i="6"/>
  <c r="L24" i="6"/>
  <c r="L23" i="6"/>
  <c r="L22" i="6"/>
  <c r="L21" i="6"/>
  <c r="L20" i="6"/>
  <c r="L19" i="6"/>
  <c r="L18" i="6"/>
  <c r="L17" i="6"/>
  <c r="L16" i="6"/>
  <c r="L15" i="6"/>
  <c r="L14" i="6"/>
  <c r="L13" i="6"/>
  <c r="L12" i="6"/>
  <c r="L11" i="6"/>
  <c r="L10" i="6"/>
  <c r="L9" i="6"/>
  <c r="L8" i="6"/>
  <c r="L7" i="6"/>
  <c r="L6" i="6"/>
  <c r="B61" i="5"/>
  <c r="B60" i="5"/>
  <c r="B59" i="5"/>
  <c r="B58" i="5"/>
  <c r="B57" i="5"/>
  <c r="E24" i="5"/>
  <c r="D24" i="5"/>
  <c r="C24" i="5"/>
  <c r="B24" i="5"/>
  <c r="F23" i="5"/>
  <c r="E23" i="5"/>
  <c r="D23" i="5"/>
  <c r="C23" i="5"/>
  <c r="B23" i="5"/>
  <c r="E22" i="5"/>
  <c r="D22" i="5"/>
  <c r="C22" i="5"/>
  <c r="B22" i="5"/>
  <c r="E21" i="5"/>
  <c r="D21" i="5"/>
  <c r="C21" i="5"/>
  <c r="B21" i="5"/>
  <c r="C48" i="3"/>
  <c r="B48" i="3"/>
  <c r="C47" i="3"/>
  <c r="B47" i="3"/>
  <c r="C46" i="3"/>
  <c r="B46" i="3"/>
  <c r="C23" i="3"/>
  <c r="C22" i="3"/>
  <c r="C21" i="3"/>
  <c r="Q138" i="2"/>
  <c r="P138" i="2"/>
  <c r="R138" i="2" s="1"/>
  <c r="O138" i="2"/>
  <c r="Q137" i="2"/>
  <c r="P137" i="2"/>
  <c r="R137" i="2" s="1"/>
  <c r="O137" i="2"/>
  <c r="Q136" i="2"/>
  <c r="P136" i="2"/>
  <c r="R136" i="2" s="1"/>
  <c r="O136" i="2"/>
  <c r="Q135" i="2"/>
  <c r="P135" i="2"/>
  <c r="R135" i="2" s="1"/>
  <c r="O135" i="2"/>
  <c r="R134" i="2"/>
  <c r="Q134" i="2"/>
  <c r="P134" i="2"/>
  <c r="O134" i="2"/>
  <c r="Q133" i="2"/>
  <c r="P133" i="2"/>
  <c r="R133" i="2" s="1"/>
  <c r="O133" i="2"/>
  <c r="Q102" i="2"/>
  <c r="P102" i="2"/>
  <c r="R102" i="2" s="1"/>
  <c r="O102" i="2"/>
  <c r="Q101" i="2"/>
  <c r="P101" i="2"/>
  <c r="R101" i="2" s="1"/>
  <c r="O101" i="2"/>
  <c r="Q100" i="2"/>
  <c r="P100" i="2"/>
  <c r="R100" i="2" s="1"/>
  <c r="O100" i="2"/>
  <c r="R99" i="2"/>
  <c r="Q99" i="2"/>
  <c r="P99" i="2"/>
  <c r="O99" i="2"/>
  <c r="Q98" i="2"/>
  <c r="P98" i="2"/>
  <c r="R98" i="2" s="1"/>
  <c r="O98" i="2"/>
  <c r="Q68" i="2"/>
  <c r="P68" i="2"/>
  <c r="R68" i="2" s="1"/>
  <c r="O68" i="2"/>
  <c r="Q67" i="2"/>
  <c r="P67" i="2"/>
  <c r="R67" i="2" s="1"/>
  <c r="O67" i="2"/>
  <c r="Q66" i="2"/>
  <c r="P66" i="2"/>
  <c r="R66" i="2" s="1"/>
  <c r="O66" i="2"/>
  <c r="R65" i="2"/>
  <c r="Q65" i="2"/>
  <c r="P65" i="2"/>
  <c r="O65" i="2"/>
  <c r="Q64" i="2"/>
  <c r="P64" i="2"/>
  <c r="R64" i="2" s="1"/>
  <c r="O64" i="2"/>
  <c r="Q63" i="2"/>
  <c r="P63" i="2"/>
  <c r="R63" i="2" s="1"/>
  <c r="O63" i="2"/>
  <c r="Q34" i="2"/>
  <c r="P34" i="2"/>
  <c r="R34" i="2" s="1"/>
  <c r="O34" i="2"/>
  <c r="Q33" i="2"/>
  <c r="P33" i="2"/>
  <c r="R33" i="2" s="1"/>
  <c r="O33" i="2"/>
  <c r="Q32" i="2"/>
  <c r="P32" i="2"/>
  <c r="R32" i="2" s="1"/>
  <c r="O32" i="2"/>
  <c r="Q31" i="2"/>
  <c r="P31" i="2"/>
  <c r="R31" i="2" s="1"/>
  <c r="O31" i="2"/>
  <c r="Q30" i="2"/>
  <c r="P30" i="2"/>
  <c r="R30" i="2" s="1"/>
  <c r="O30" i="2"/>
  <c r="Q29" i="2"/>
  <c r="P29" i="2"/>
  <c r="R29" i="2" s="1"/>
  <c r="O29" i="2"/>
  <c r="Q28" i="2"/>
  <c r="P28" i="2"/>
  <c r="R28" i="2" s="1"/>
  <c r="O28" i="2"/>
  <c r="F24" i="5" l="1"/>
  <c r="B31" i="5"/>
  <c r="E30" i="5"/>
  <c r="D30" i="5"/>
  <c r="C30" i="5"/>
  <c r="B30" i="5"/>
  <c r="F22" i="5"/>
  <c r="B29" i="5" s="1"/>
  <c r="F21" i="5"/>
  <c r="B28" i="5" s="1"/>
  <c r="E23" i="3"/>
  <c r="D23" i="3"/>
  <c r="E22" i="3"/>
  <c r="D22" i="3"/>
  <c r="E21" i="3"/>
  <c r="D21" i="3"/>
  <c r="A134" i="2"/>
  <c r="A135" i="2"/>
  <c r="D135" i="2"/>
  <c r="C136" i="2"/>
  <c r="F136" i="2"/>
  <c r="C137" i="2"/>
  <c r="F137" i="2"/>
  <c r="D134" i="2"/>
  <c r="F134" i="2"/>
  <c r="B137" i="2"/>
  <c r="B135" i="2"/>
  <c r="B136" i="2"/>
  <c r="D136" i="2"/>
  <c r="A137" i="2"/>
  <c r="F138" i="2"/>
  <c r="D137" i="2"/>
  <c r="A133" i="2"/>
  <c r="D133" i="2"/>
  <c r="C134" i="2"/>
  <c r="F135" i="2"/>
  <c r="D138" i="2"/>
  <c r="C133" i="2"/>
  <c r="F133" i="2"/>
  <c r="C135" i="2"/>
  <c r="A136" i="2"/>
  <c r="A138" i="2"/>
  <c r="C138" i="2"/>
  <c r="B134" i="2"/>
  <c r="B138" i="2"/>
  <c r="B133" i="2"/>
  <c r="A99" i="2"/>
  <c r="B99" i="2"/>
  <c r="C99" i="2"/>
  <c r="D99" i="2"/>
  <c r="F99" i="2"/>
  <c r="A102" i="2"/>
  <c r="B102" i="2"/>
  <c r="C102" i="2"/>
  <c r="C100" i="2"/>
  <c r="C101" i="2"/>
  <c r="F100" i="2"/>
  <c r="A101" i="2"/>
  <c r="D102" i="2"/>
  <c r="A100" i="2"/>
  <c r="F101" i="2"/>
  <c r="B100" i="2"/>
  <c r="F102" i="2"/>
  <c r="D101" i="2"/>
  <c r="D100" i="2"/>
  <c r="B101" i="2"/>
  <c r="A98" i="2"/>
  <c r="B98" i="2"/>
  <c r="C98" i="2"/>
  <c r="D98" i="2"/>
  <c r="F98" i="2"/>
  <c r="A64" i="2"/>
  <c r="B64" i="2"/>
  <c r="C64" i="2"/>
  <c r="D64" i="2"/>
  <c r="F64" i="2"/>
  <c r="A65" i="2"/>
  <c r="B65" i="2"/>
  <c r="C65" i="2"/>
  <c r="D65" i="2"/>
  <c r="F65" i="2"/>
  <c r="F67" i="2"/>
  <c r="A68" i="2"/>
  <c r="B68" i="2"/>
  <c r="C68" i="2"/>
  <c r="C66" i="2"/>
  <c r="D67" i="2"/>
  <c r="D68" i="2"/>
  <c r="F68" i="2"/>
  <c r="C67" i="2"/>
  <c r="A66" i="2"/>
  <c r="B67" i="2"/>
  <c r="B66" i="2"/>
  <c r="D66" i="2"/>
  <c r="A67" i="2"/>
  <c r="F66" i="2"/>
  <c r="D63" i="2"/>
  <c r="A63" i="2"/>
  <c r="B63" i="2"/>
  <c r="C63" i="2"/>
  <c r="F63" i="2"/>
  <c r="A29" i="2"/>
  <c r="B29" i="2"/>
  <c r="C29" i="2"/>
  <c r="D29" i="2"/>
  <c r="F29" i="2"/>
  <c r="A30" i="2"/>
  <c r="B30" i="2"/>
  <c r="C30" i="2"/>
  <c r="D30" i="2"/>
  <c r="F30" i="2"/>
  <c r="A31" i="2"/>
  <c r="B31" i="2"/>
  <c r="C31" i="2"/>
  <c r="D31" i="2"/>
  <c r="F31" i="2"/>
  <c r="A32" i="2"/>
  <c r="B32" i="2"/>
  <c r="C32" i="2"/>
  <c r="D32" i="2"/>
  <c r="F32" i="2"/>
  <c r="B33" i="2"/>
  <c r="C34" i="2"/>
  <c r="D34" i="2"/>
  <c r="F34" i="2"/>
  <c r="C33" i="2"/>
  <c r="A34" i="2"/>
  <c r="F33" i="2"/>
  <c r="A33" i="2"/>
  <c r="D33" i="2"/>
  <c r="B34" i="2"/>
  <c r="A28" i="2"/>
  <c r="B28" i="2"/>
  <c r="C28" i="2"/>
  <c r="D28" i="2"/>
  <c r="F28" i="2"/>
  <c r="C31" i="5" l="1"/>
  <c r="D31" i="5"/>
  <c r="E31" i="5"/>
  <c r="C29" i="5"/>
  <c r="D29" i="5"/>
  <c r="E29" i="5"/>
  <c r="C28" i="5"/>
  <c r="D28" i="5"/>
  <c r="E28" i="5"/>
</calcChain>
</file>

<file path=xl/sharedStrings.xml><?xml version="1.0" encoding="utf-8"?>
<sst xmlns="http://schemas.openxmlformats.org/spreadsheetml/2006/main" count="2276" uniqueCount="1065">
  <si>
    <t>苏州八地人才政策对比</t>
  </si>
  <si>
    <t>依据本次上传八份Word整理 · 2026-10-10 · 姑苏区为区级计划 · 数额均不代表无条件到账</t>
  </si>
  <si>
    <t>地区</t>
  </si>
  <si>
    <t>常规创业资助（万元）</t>
  </si>
  <si>
    <t>创业住房参考（万元）</t>
  </si>
  <si>
    <t>项目拨付信息</t>
  </si>
  <si>
    <t>主要判断</t>
  </si>
  <si>
    <t>吴中（东吴）</t>
  </si>
  <si>
    <t>100—300</t>
  </si>
  <si>
    <t>全类别新范围50—200；创业分档待核</t>
  </si>
  <si>
    <t>50/30/20明确</t>
  </si>
  <si>
    <t>住房与团队门槛有文内冲突</t>
  </si>
  <si>
    <t>姑苏区（区级）</t>
  </si>
  <si>
    <t>最高100</t>
  </si>
  <si>
    <t>按进度分期，比例未列</t>
  </si>
  <si>
    <t>区级≠市级；2026批次待核</t>
  </si>
  <si>
    <t>常熟（昆承）</t>
  </si>
  <si>
    <t>未确认</t>
  </si>
  <si>
    <t>最高150</t>
  </si>
  <si>
    <t>新版本比例缺失</t>
  </si>
  <si>
    <t>常规资金缺失，待落户综合160/40</t>
  </si>
  <si>
    <t>昆山</t>
  </si>
  <si>
    <t>100 / 200 / 300 / 400</t>
  </si>
  <si>
    <t>最高60</t>
  </si>
  <si>
    <t>70/30或50/50跨版待核</t>
  </si>
  <si>
    <t>最高创业400；资金条款版本需核</t>
  </si>
  <si>
    <t>工业园区（金鸡湖）</t>
  </si>
  <si>
    <t>100或300（非连续档）</t>
  </si>
  <si>
    <t>100—150</t>
  </si>
  <si>
    <t>分期，比例未列</t>
  </si>
  <si>
    <t>常规与重大/成长分开，创新为综合补贴</t>
  </si>
  <si>
    <t>高新区</t>
  </si>
  <si>
    <t>100 / 200 / 300</t>
  </si>
  <si>
    <t>比例未核实</t>
  </si>
  <si>
    <t>300万创业档需个人实缴500万</t>
  </si>
  <si>
    <t>吴江</t>
  </si>
  <si>
    <t>50 / 100 / 150</t>
  </si>
  <si>
    <t>新版比例未列</t>
  </si>
  <si>
    <t>房票试行期临近届满</t>
  </si>
  <si>
    <t>相城</t>
  </si>
  <si>
    <t>50 / 100</t>
  </si>
  <si>
    <t>分年度，比例未列</t>
  </si>
  <si>
    <t>普通创业50/100；300为特别优秀上浮</t>
  </si>
  <si>
    <t>如何阅读排名</t>
  </si>
  <si>
    <t>说明项</t>
  </si>
  <si>
    <t>解释</t>
  </si>
  <si>
    <t>排序规则</t>
  </si>
  <si>
    <t>各图按同类最高值由低到高排列，同额保持数据表顺序。最低值和最高值分列；离散档次保留原文，不能假设区间内任意金额均可获批。</t>
  </si>
  <si>
    <t>范围与缺失</t>
  </si>
  <si>
    <t>最低空白是未明确，不是0。常熟常规现行金额不参加排名；姑苏区创新项目经费0来自文档明确无此项。</t>
  </si>
  <si>
    <t>不能相加</t>
  </si>
  <si>
    <t>项目补助、综合扶持、个人住房、企业引才奖励、贷款及股权投资分开。不同级别或互斥住房待遇不汇总成“最高总包”。</t>
  </si>
  <si>
    <t>雷达图</t>
  </si>
  <si>
    <t>四个资料较完整地区，用常规创业、企业创新、常规团队、创业住房上限，除以四地相应最高值。表示相对额度，不是获评率或综合优劣评分。</t>
  </si>
  <si>
    <t>数据更新</t>
  </si>
  <si>
    <t>输入金额可编辑，金额页排序公式及关联图表随对应数字变化；贷款表排序为本次快照。若修改类别/政策性质或补入缺失地区，需同步扩展图表源范围；分析文字是本次整理结论。</t>
  </si>
  <si>
    <t>理性分析与选择条件</t>
  </si>
  <si>
    <t>比较维度</t>
  </si>
  <si>
    <t>根据附件可得的判断</t>
  </si>
  <si>
    <t>使用建议</t>
  </si>
  <si>
    <t>普通创业经费</t>
  </si>
  <si>
    <t>常规上限：相城与姑苏区100；吴中、园区、高新区、吴江300；昆山400。常熟缺失不能视为最少。相城特别优秀300、园区重大1000等未混入常规。</t>
  </si>
  <si>
    <t>先确认申报类别和可达到的实际档次，金额上限不能替代资格判断。</t>
  </si>
  <si>
    <t>实际出资约束</t>
  </si>
  <si>
    <t>八地常规创业基本个人现金门槛均为100万。高新区200/300万档另需个人实缴300/500万；园区300万档要求企业实缴300万，个人与企业口径不同。</t>
  </si>
  <si>
    <t>高额度对应更多资金或成长条件；以自有资金、技术和经营证据匹配档次。</t>
  </si>
  <si>
    <t>现金流可见性</t>
  </si>
  <si>
    <t>东吴本表有现行50/30/20明确节点：100—300万创业档对应首笔50—150万。其他多数未明确比例；昆山比例需解决版本问题。</t>
  </si>
  <si>
    <t>首笔可申请与到账不同；不预先把资助总额安排成第一年可用资金。</t>
  </si>
  <si>
    <t>住房支持</t>
  </si>
  <si>
    <t>同为创业个人，昆山上限60；姑苏区、高新区、相城100；园区、吴江150。吴中创业新档次待核，常熟房票150来自2025说明。</t>
  </si>
  <si>
    <t>先核房屋地点、购房款比例、产权、期限及租购互抵；房票与现金补贴使用方式不同。</t>
  </si>
  <si>
    <t>创新及团队</t>
  </si>
  <si>
    <t>企业创新上限昆山200、吴江150、吴中/高新区/相城100；姑苏区无项目经费。园区50—100为综合补贴。团队600/800/1000各有不同人数投入条件。</t>
  </si>
  <si>
    <t>创新人才比较时同时看聘用年薪和连续服务；团队先核门槛，不与个人资助混排。</t>
  </si>
  <si>
    <t>产业和配套</t>
  </si>
  <si>
    <t>园区强调信息技术、装备及生物医药等；高新区有光子方向；昆山人工智能/集成电路；其他区亦有各自产业范围。贷款与股权支持均有审核及交易条件。</t>
  </si>
  <si>
    <t>通过属地核实产业链、场地和客户资源；不将贷款额度当作无偿收益。</t>
  </si>
  <si>
    <t>历史数量能说明什么</t>
  </si>
  <si>
    <t>目前各地年份、批次、拟/正式及计量单位不一致；多数缺申报分母。东吴47/77和梅李1/6仅是局部文档口径。</t>
  </si>
  <si>
    <t>不据这些数字评出“最容易申报地区”，也不以人次累计或年度目标替代实绩。</t>
  </si>
  <si>
    <t>当前需要补齐</t>
  </si>
  <si>
    <t>优先解决常熟新细则完整资金条款、吴中住房与团队冲突、昆山新版拨付依据、吴江房票续期、姑苏2026批次等。</t>
  </si>
  <si>
    <t>确认书面口径后再签约、购房或确定资金预算。</t>
  </si>
  <si>
    <t>文内冲突及缺口登记</t>
  </si>
  <si>
    <t>事项</t>
  </si>
  <si>
    <t>发现的问题</t>
  </si>
  <si>
    <t>本表处理</t>
  </si>
  <si>
    <t>待补材料</t>
  </si>
  <si>
    <t>定位</t>
  </si>
  <si>
    <t>吴中住房</t>
  </si>
  <si>
    <t>总览团队150—250与后文2026新细则50—200冲突</t>
  </si>
  <si>
    <t>采用后文新范围作全类别参考；创业分档不用于同口径住房排名</t>
  </si>
  <si>
    <t>2026年度申领通知及新细则分档表</t>
  </si>
  <si>
    <t>东吴 B32、B51—56</t>
  </si>
  <si>
    <t>吴中团队投入</t>
  </si>
  <si>
    <t>总览3年≥3000万；流程总≥1亿且已≥3000万</t>
  </si>
  <si>
    <t>金额资助可列；投入门槛不参与跨地排名</t>
  </si>
  <si>
    <t>当批团队通知和实施细则</t>
  </si>
  <si>
    <t>东吴 B28、B80</t>
  </si>
  <si>
    <t>昆山拨付版本</t>
  </si>
  <si>
    <t>自称2026规则，但引用包含2024/2021资金文件</t>
  </si>
  <si>
    <t>保留70/30与50/50为待核，不纳入确定首拨测算</t>
  </si>
  <si>
    <t>昆委人才办〔2026〕3号原件资金条款</t>
  </si>
  <si>
    <t>昆山 B42、B60—61、B154—162</t>
  </si>
  <si>
    <t>昆山未落户期限</t>
  </si>
  <si>
    <t>同段写一年内落户，又写资格有效期2年</t>
  </si>
  <si>
    <t>分别保留，不选任意一个当作唯一期限</t>
  </si>
  <si>
    <t>2026未落户专项通知</t>
  </si>
  <si>
    <t>昆山 B38、B131</t>
  </si>
  <si>
    <t>常熟新旧政策</t>
  </si>
  <si>
    <t>2025细则资金全文未取得；旧160—600等易混入</t>
  </si>
  <si>
    <t>现行常规金额缺失；仅列待落户160/40综合扶持</t>
  </si>
  <si>
    <t>2025细则与2026合同</t>
  </si>
  <si>
    <t>常熟 B24—40</t>
  </si>
  <si>
    <t>姑苏统计</t>
  </si>
  <si>
    <t>12+10+20标成四个批次，且称可比较未知全年</t>
  </si>
  <si>
    <t>更正为三个已知批次；保留拟认定，不计算年增长</t>
  </si>
  <si>
    <t>缺失批次正式名单和申报分母</t>
  </si>
  <si>
    <t>姑苏 B65—67</t>
  </si>
  <si>
    <t>姑苏身份</t>
  </si>
  <si>
    <t>区级姑苏与市级姑苏同名、服务卡资格描述较绝对</t>
  </si>
  <si>
    <t>仅比较区级计划；分类及服务资格另核，不自动升级</t>
  </si>
  <si>
    <t>人才分类目录及各服务受理规则</t>
  </si>
  <si>
    <t>姑苏 B16、B72—93</t>
  </si>
  <si>
    <t>吴江房票效力</t>
  </si>
  <si>
    <t>2025/10/24起试行1年，临近2026届满</t>
  </si>
  <si>
    <t>保留原效期；12个月单票期限不自动延长政策</t>
  </si>
  <si>
    <t>续期文件与跨期房票办理答复</t>
  </si>
  <si>
    <t>吴江 B11、B37—42</t>
  </si>
  <si>
    <t>园区创新金额</t>
  </si>
  <si>
    <t>50—100为综合补贴，非单列纯项目经费</t>
  </si>
  <si>
    <t>创新图明确性质，不与纯项目资金硬合并</t>
  </si>
  <si>
    <t>协议中补贴构成</t>
  </si>
  <si>
    <t>园区 B7、B26、B38</t>
  </si>
  <si>
    <t>各地历史数量</t>
  </si>
  <si>
    <t>人数/项目、全年度/单批、拟/正式、上级/区级混合</t>
  </si>
  <si>
    <t>保留维度，不作八地立项总量或通过率总排名</t>
  </si>
  <si>
    <t>相同年份批次全量申报和正式立项名单</t>
  </si>
  <si>
    <t>见历史数据表</t>
  </si>
  <si>
    <t>仅有上限</t>
  </si>
  <si>
    <t>最高100不等于最低也为100，更不等于0—100</t>
  </si>
  <si>
    <t>最低留空并标“未明确”；图中仅画最高</t>
  </si>
  <si>
    <t>具体分档及核定条件</t>
  </si>
  <si>
    <t>见政策数据表</t>
  </si>
  <si>
    <t>比较范围</t>
  </si>
  <si>
    <t>本表是八份附件的审校对比，未另行全网复核</t>
  </si>
  <si>
    <t>原文来源等级原样保留；不把文档自称核验升级为本次独立核验</t>
  </si>
  <si>
    <t>正式申请时取得当批文件</t>
  </si>
  <si>
    <t>八份附件，整理2026-10-10</t>
  </si>
  <si>
    <t>金额区间与上限排序</t>
  </si>
  <si>
    <t>从低到高 · 单位：万元 · 青色=明确最低档，蓝色=最高档；仅上限的最低留空，不按0显示。</t>
  </si>
  <si>
    <t>常规创业项目资助</t>
  </si>
  <si>
    <t>常熟金额未确认，未入图；相城特别优秀上浮、孵化、成长及重大类别均未计入。</t>
  </si>
  <si>
    <t>明确最低档</t>
  </si>
  <si>
    <t>最高档</t>
  </si>
  <si>
    <t>档次说明</t>
  </si>
  <si>
    <t>上限升序位次</t>
  </si>
  <si>
    <t>源序号</t>
  </si>
  <si>
    <t>候选地区</t>
  </si>
  <si>
    <t>排序键</t>
  </si>
  <si>
    <t>吴中</t>
  </si>
  <si>
    <t>姑苏区</t>
  </si>
  <si>
    <t>园区</t>
  </si>
  <si>
    <t>个人创新项目资助</t>
  </si>
  <si>
    <t>常熟未确认；园区50—100为综合补贴单列于政策数据；姑苏区0表示明确无项目资助。</t>
  </si>
  <si>
    <t>常规团队项目资助</t>
  </si>
  <si>
    <t>不同团队类型门槛见申报表；高新区顶尖1000—5000、园区重大创业300—1000另列。</t>
  </si>
  <si>
    <t>创业个人住房支持</t>
  </si>
  <si>
    <t>园区/吴江有明确范围；其余只给上限。吴中新创业分档、常熟2026档次待核，未入图。</t>
  </si>
  <si>
    <t>兑现条件与分期现金流</t>
  </si>
  <si>
    <t>首期金额仅对文档明确的现行比例计算；各节点均以签约、考核和审核为前提。</t>
  </si>
  <si>
    <t>资金类型</t>
  </si>
  <si>
    <t>比例或方式</t>
  </si>
  <si>
    <t>触发及周期</t>
  </si>
  <si>
    <t>版本/到账边界</t>
  </si>
  <si>
    <t>住房兑现方式</t>
  </si>
  <si>
    <t>住房期限与关键条件</t>
  </si>
  <si>
    <t>互斥及衔接</t>
  </si>
  <si>
    <t>来源</t>
  </si>
  <si>
    <t>项目</t>
  </si>
  <si>
    <t>50% / 30% / 20%</t>
  </si>
  <si>
    <t>立项签约；一般满1年中期；一般满3年验收</t>
  </si>
  <si>
    <t>比例明确；考核通过后拨，非固定到账日</t>
  </si>
  <si>
    <t>购房按年度，比例年限待2026通知；旧4:3:3不能移用</t>
  </si>
  <si>
    <t>新细则50—200万，创业/团队旧档与新范围存在冲突</t>
  </si>
  <si>
    <t>房票50万与购房就高；租购不重复、按规则补差</t>
  </si>
  <si>
    <t>东吴领军人才政策(4).docx B38—68</t>
  </si>
  <si>
    <t>创业扶持</t>
  </si>
  <si>
    <t>分期；比例未列</t>
  </si>
  <si>
    <t>签合同后依进度兑现；中期、结题监督</t>
  </si>
  <si>
    <t>不得把立项日视为到账日</t>
  </si>
  <si>
    <t>住房补贴比例、发放周期未列</t>
  </si>
  <si>
    <t>创业领军最高100；孵化/创新最高50；市区含吴江购房</t>
  </si>
  <si>
    <t>市区同类住房衔接待核；租购不重复</t>
  </si>
  <si>
    <t>姑苏区领军人才政策(1).docx B18—34、B79—93</t>
  </si>
  <si>
    <t>综合扶持/常规</t>
  </si>
  <si>
    <t>现行未确认</t>
  </si>
  <si>
    <t>待落户资格保留1年；创业落户并考察，创新入职</t>
  </si>
  <si>
    <t>2020旧4:3:3单列历史，不用于2026预算</t>
  </si>
  <si>
    <t>房票2025上限150、最高房款40%；2026细则待核</t>
  </si>
  <si>
    <t>传统安家旧房款60%与房票40%不同制度，不能相加</t>
  </si>
  <si>
    <t>房票与传统安家互抵、适用批次需书面确认</t>
  </si>
  <si>
    <t>常熟市昆承英才科技创新创业领军人才计划_2026(1).docx B21—42</t>
  </si>
  <si>
    <t>文档列重大70/30；一般50/50</t>
  </si>
  <si>
    <t>立项与验收两期；中期仍需检查</t>
  </si>
  <si>
    <t>引用混有2024/2021文件；2026比例须对新细则核验</t>
  </si>
  <si>
    <t>购房款50%；个人最高60、团队100；上级累计200；分期未明</t>
  </si>
  <si>
    <t>认定日起5年内新购；市区镇1:1是财政分担</t>
  </si>
  <si>
    <t>房票为对应补贴60%，且≤房款30%；与购房补贴二选一</t>
  </si>
  <si>
    <t>昆山双创(2).docx B42—79、B136、B150—162</t>
  </si>
  <si>
    <t>启动/综合补贴</t>
  </si>
  <si>
    <t>常规分期未列比例；成长80万达条件一次性</t>
  </si>
  <si>
    <t>一般立项后1年内签约；省外专项6个月；后续考核</t>
  </si>
  <si>
    <t>旧启动指南依据2021版本，不直接作为2026比例</t>
  </si>
  <si>
    <t>常规100—150万；分3年/3次，各次申请间隔≥12个月，比例未列</t>
  </si>
  <si>
    <t>重大200、成长150；2026购房起算细则须看协议</t>
  </si>
  <si>
    <t>同类从新、从优、从高，不直接全额累加</t>
  </si>
  <si>
    <t>金鸡湖科技领军人才创新创业工程专题介绍(2).docx B26—41、B82</t>
  </si>
  <si>
    <t>统一分期比例未核实</t>
  </si>
  <si>
    <t>立项后6个月内签约；到账周期未列</t>
  </si>
  <si>
    <t>财政7:3为政府分担，绝非首尾款70/30</t>
  </si>
  <si>
    <t>创业最高100、创新50；立项3年内区内购房；比例未列</t>
  </si>
  <si>
    <t>3年购房资格期不等于分3年拨款</t>
  </si>
  <si>
    <t>省市区同类支持从高不重复</t>
  </si>
  <si>
    <t>苏州高新区科技创新创业领军人才计划专题介绍_2026(2).docx B26—42、B80</t>
  </si>
  <si>
    <t>科研经费</t>
  </si>
  <si>
    <t>新版分期比例未列</t>
  </si>
  <si>
    <t>项目期与中期验收节点须看新合同</t>
  </si>
  <si>
    <t>2021旧50/30/20不可移用2025新版</t>
  </si>
  <si>
    <t>人才房票；人才使用后房企结算，非直接给人才现金</t>
  </si>
  <si>
    <t>房票发放日起12个月且政策执行期内；2025/10/24起试行1年</t>
  </si>
  <si>
    <t>领房票次月停租贴、扣减已享；一人一票；夫妻可合用</t>
  </si>
  <si>
    <t>苏州吴江区创新创业领军人才计划专题介绍_2026(2).docx B27—42</t>
  </si>
  <si>
    <t>项目/安家</t>
  </si>
  <si>
    <t>项目按年未列比例；现金安家50/50</t>
  </si>
  <si>
    <t>一般立项1年后中期；验收后余款</t>
  </si>
  <si>
    <t>房票修订最高50万，团队150的半数不能推作75万房票</t>
  </si>
  <si>
    <t>首笔现金：次年起、中期通过、唯一自住；二笔：交房产权＋验收</t>
  </si>
  <si>
    <t>房票立项后3个月提出需求；每月集中；有效12个月</t>
  </si>
  <si>
    <t>房票纳入安家，不额外累加；50万限额衔接部分待核</t>
  </si>
  <si>
    <t>相城区科技领军人才计划(1).docx B30—46</t>
  </si>
  <si>
    <t>东吴常规创业：100—300万元资助的分期示意</t>
  </si>
  <si>
    <t>横轴为兑现节点，不是等间隔年份；中期一般满1年后，验收一般满3年后，均不承诺固定到账日。</t>
  </si>
  <si>
    <t>兑现节点</t>
  </si>
  <si>
    <t>本期比例</t>
  </si>
  <si>
    <t>累计比例</t>
  </si>
  <si>
    <t>100万档累计</t>
  </si>
  <si>
    <t>300万档累计</t>
  </si>
  <si>
    <t>考核条件</t>
  </si>
  <si>
    <t>立项签约</t>
  </si>
  <si>
    <t>满足立项、合同等条件</t>
  </si>
  <si>
    <t>中期通过</t>
  </si>
  <si>
    <t>一般项目一年期满后检查</t>
  </si>
  <si>
    <t>验收通过</t>
  </si>
  <si>
    <t>一般项目三年期满后验收</t>
  </si>
  <si>
    <t>本期金额测算</t>
  </si>
  <si>
    <t>节点</t>
  </si>
  <si>
    <t>本期100万档</t>
  </si>
  <si>
    <t>本期300万档</t>
  </si>
  <si>
    <t>说明</t>
  </si>
  <si>
    <t>不能视为申报后立即到账</t>
  </si>
  <si>
    <t>检查暂缓则拨款暂缓</t>
  </si>
  <si>
    <t>未通过可能终止尾款与相关待遇</t>
  </si>
  <si>
    <t>申报门槛、窗口与流程</t>
  </si>
  <si>
    <t>基础条件不是获评保证；具体引进日期、系统入口和受理时点需对应当批通知。</t>
  </si>
  <si>
    <t>创业学历</t>
  </si>
  <si>
    <t>创业经历</t>
  </si>
  <si>
    <t>个人基础实缴（万元）</t>
  </si>
  <si>
    <t>创业股权要求</t>
  </si>
  <si>
    <t>出资/资本补充条件</t>
  </si>
  <si>
    <t>企业及在地要求</t>
  </si>
  <si>
    <t>创新人才条件</t>
  </si>
  <si>
    <t>团队规模与投入</t>
  </si>
  <si>
    <t>附件列示受理窗口</t>
  </si>
  <si>
    <t>流程</t>
  </si>
  <si>
    <t>入口/咨询</t>
  </si>
  <si>
    <t>本科</t>
  </si>
  <si>
    <t>≥3年</t>
  </si>
  <si>
    <t>≥20%或最大自然人股东</t>
  </si>
  <si>
    <t>持股公司≥200万</t>
  </si>
  <si>
    <t>企业≤2年；≥2名参保员工</t>
  </si>
  <si>
    <t>博士；相关经历≥2年；年薪≥30万；全职≥3年</t>
  </si>
  <si>
    <t>≥3人；投入有冲突：总览3年≥3000万，流程总≥1亿且已≥3000万</t>
  </si>
  <si>
    <t>2026首批4/2—5/6；常年受理、集中评审</t>
  </si>
  <si>
    <t>注册填报→属地推荐→形式及背景审查→专家/答辩/考察→审议公示→合同</t>
  </si>
  <si>
    <t>http://222.92.64.216:9090/home</t>
  </si>
  <si>
    <t>东吴领军人才政策(4).docx B05—09、B18、B28/80、B73—124</t>
  </si>
  <si>
    <t>原则硕士</t>
  </si>
  <si>
    <t>≥30%或自然人第一大股东</t>
  </si>
  <si>
    <t>领军注册资本≥500万；孵化≥300万（非个人实缴）</t>
  </si>
  <si>
    <t>获称号2年内总部设区；2025批次时点不能移用</t>
  </si>
  <si>
    <t>博士，特定人才可硕士；≥2年；年薪≥30万；全职≥3年</t>
  </si>
  <si>
    <t>文档未列独立团队完整门槛</t>
  </si>
  <si>
    <t>2026月历7—8月指引；完整批次未提供</t>
  </si>
  <si>
    <t>注册激活→填报→街道初审→形式审查→专家/考察→公示审定→三方合同</t>
  </si>
  <si>
    <t>文档未提供明确网址</t>
  </si>
  <si>
    <t>姑苏区领军人才政策(1).docx B09、B12、B39—60</t>
  </si>
  <si>
    <t>原则≥3年</t>
  </si>
  <si>
    <t>通常≥30%；特定条件可≥20%</t>
  </si>
  <si>
    <t>持股平台须穿透折算</t>
  </si>
  <si>
    <t>至少2名非股东员工参保；批次落地时点分别核对</t>
  </si>
  <si>
    <t>博士；相关关键岗位≥5年；一般年薪≥36万；全职≥3年</t>
  </si>
  <si>
    <t>≥3人；已投入≥3000万或融资≥2000万；立项后3年投入≥5000万</t>
  </si>
  <si>
    <t>首批4/1—4/30；二批9/15—9/30为第三方转述；团队全年</t>
  </si>
  <si>
    <t>虞企通→板块推荐→资格/技术/实地/面试/综合评审→审议公示→合同→兑现</t>
  </si>
  <si>
    <t>https://zrk.changshu.gov.cn</t>
  </si>
  <si>
    <t>常熟市昆承英才科技创新创业领军人才计划_2026(1).docx B09、B14—18、B46—60</t>
  </si>
  <si>
    <t>≥20%或自然人第一大股东</t>
  </si>
  <si>
    <t>持股公司≥200万；省外专项个人≥300万/平台≥600万</t>
  </si>
  <si>
    <t>企业≥2名参保员工；2026通知列具体成立窗口</t>
  </si>
  <si>
    <t>一般博士；≥2年；年薪≥30万；全职≥3年</t>
  </si>
  <si>
    <t>≥4人；总投入≥2000万、前期≥1000万；5年产业化</t>
  </si>
  <si>
    <t>2026 5/1—5/30；未落户常年、定期评审</t>
  </si>
  <si>
    <t>昆如意注册→一企一档/个人→填报材料→区镇推荐→分类评审→认定合同→检查验收</t>
  </si>
  <si>
    <t>http://180.97.207.63:8099</t>
  </si>
  <si>
    <t>昆山双创(2).docx B04—39、B83—85</t>
  </si>
  <si>
    <t>≥3年；博士折算3年</t>
  </si>
  <si>
    <t>通常≥30%或第一大自然人股东</t>
  </si>
  <si>
    <t>企业基本实缴≥100万；300万档企业实缴≥300万</t>
  </si>
  <si>
    <t>董事长/总经理/执行事务董事；入选至验收个人出资不减</t>
  </si>
  <si>
    <t>博士或正高；2026≥2年；年薪≥30万；全职≥3年</t>
  </si>
  <si>
    <t>重大创业类别另评，不替代独立团队资格</t>
  </si>
  <si>
    <t>首批截止4/10；二批截止8/20；均为2026</t>
  </si>
  <si>
    <t>官网注册→填报→招商与科创委审核→网评/答辩→公示发文→落地签约</t>
  </si>
  <si>
    <t>http://techpioneers.sipac.gov.cn/</t>
  </si>
  <si>
    <t>金鸡湖科技领军人才创新创业工程专题介绍(2).docx B15—21、B31、B46—63</t>
  </si>
  <si>
    <t>≥20%或第一大自然人股东</t>
  </si>
  <si>
    <t>200万经费需个人实缴≥300万；300万经费需≥500万</t>
  </si>
  <si>
    <t>持股公司≥200万；出资股权等可签约前达标</t>
  </si>
  <si>
    <t>≥3人；重点总≥3000万/目前≥500万；顶尖总≥1亿/目前≥3000万</t>
  </si>
  <si>
    <t>首批截止2/28；二批延期至9/15（2026）</t>
  </si>
  <si>
    <t>平台→板块初审→科创局复核→评审审议→公示→立项6个月内签约</t>
  </si>
  <si>
    <t>文档内“网上入口”链接见原文索引</t>
  </si>
  <si>
    <t>苏州高新区科技创新创业领军人才计划专题介绍_2026(2).docx B16—21、B48—66</t>
  </si>
  <si>
    <t>持股公司≥200万等附加条件</t>
  </si>
  <si>
    <t>每年企业工作≥6个月；2026答问具体落地日期须对批次</t>
  </si>
  <si>
    <t>一般博士；年薪≥30万；全职服务≥3年</t>
  </si>
  <si>
    <t>≥3人；总投入≥1亿；已投/融资≥2000万或上年销售&gt;2000万</t>
  </si>
  <si>
    <t>2026月历8—9月指引；准确受理时点待核</t>
  </si>
  <si>
    <t>属地推荐→形式→网评→资格→答辩→考察→审议公示→正式合同</t>
  </si>
  <si>
    <t>向区科技领军服务中心确认：0512-63981898</t>
  </si>
  <si>
    <t>苏州吴江区创新创业领军人才计划专题介绍_2026(2).docx B15—22、B45—55</t>
  </si>
  <si>
    <t>硕士</t>
  </si>
  <si>
    <t>丰富经历；未定统一年数</t>
  </si>
  <si>
    <t>≥30%或第一大自然人股东且≥20%</t>
  </si>
  <si>
    <t>青年创业个人实缴≥50万</t>
  </si>
  <si>
    <t>主要精力在相城；近年具体日期看批次</t>
  </si>
  <si>
    <t>博士；年薪≥上年苏州指定统计工资的2倍；全职≥3年</t>
  </si>
  <si>
    <t>≥3人；3年总投资≥3000万；5年产业化</t>
  </si>
  <si>
    <t>细则上下半年两批；2026月历8—9月指引</t>
  </si>
  <si>
    <t>网上→属地推荐→专家→考察→部门审议→公示7天→政府审定→合同</t>
  </si>
  <si>
    <t>向区科技局确认：0512-85182157</t>
  </si>
  <si>
    <t>相城区科技领军人才计划(1).docx B16—25、B51—56</t>
  </si>
  <si>
    <t>门槛排序解读</t>
  </si>
  <si>
    <t>个人基础实缴均为100万元，无金额高低差别；相城青年50万元是另一类别，不替换普通创业门槛。</t>
  </si>
  <si>
    <t>学历按本科、硕士排序：本科为吴中/常熟/昆山/园区/高新区/吴江；硕士为姑苏区（原则）/相城（可评估放宽）。</t>
  </si>
  <si>
    <t>创新固定年薪门槛：多数≥30万元，常熟一般≥36万元；相城为上年度指定统计工资2倍，缺基数不换算为固定金额。</t>
  </si>
  <si>
    <t>团队人数：吴中/常熟/高新区/吴江/相城至少3人，昆山至少4人；姑苏区和园区材料未给同口径独立团队要求。</t>
  </si>
  <si>
    <t>基础实缴、企业注册资本、项目总投入及前期投入是四种不同指标，禁止直接混排。</t>
  </si>
  <si>
    <t>配套工具、住房条件与雷达图</t>
  </si>
  <si>
    <t>贷款须偿还，股权投资涉及交易安排，均不并入财政无偿资助；空白表示附件未给出可比现行额度。</t>
  </si>
  <si>
    <t>常规办公面积上限㎡</t>
  </si>
  <si>
    <t>支持年限</t>
  </si>
  <si>
    <t>企业贷款上限万元</t>
  </si>
  <si>
    <t>股权投资上限万元</t>
  </si>
  <si>
    <t>常规贴息上限万元</t>
  </si>
  <si>
    <t>上级叠加规则</t>
  </si>
  <si>
    <t>生活与企业服务</t>
  </si>
  <si>
    <t>适用限制及补充</t>
  </si>
  <si>
    <t>项目上级国家/省1:1，市级区承担不抵扣；住房就高</t>
  </si>
  <si>
    <t>子女就近统筹、医疗体检、人才卡；资格依认定</t>
  </si>
  <si>
    <t>住房1500元/月≤3年为过渡；房票50与安家互抵</t>
  </si>
  <si>
    <t>东吴领军人才政策(4).docx B49、B154—177</t>
  </si>
  <si>
    <t>上级创业项目追加最高200万；非自动累计</t>
  </si>
  <si>
    <t>人才礼遇卡、礼遇通；市级服务须分类审核</t>
  </si>
  <si>
    <t>办公补贴≤30万；文内C类对应与自动享受表述需另核</t>
  </si>
  <si>
    <t>姑苏区领军人才政策(1).docx B18、B28、B74—93</t>
  </si>
  <si>
    <t>本市/跨区重复申报限制；就高补差须依新合同</t>
  </si>
  <si>
    <t>伙伴计划、一站式、教育医疗；驿站、公寓各有资格</t>
  </si>
  <si>
    <t>旧贷款5000/贴息30等不作2026现行数据</t>
  </si>
  <si>
    <t>常熟市昆承英才科技创新创业领军人才计划_2026(1).docx B79—85</t>
  </si>
  <si>
    <t>国家、省可累计；苏州级就高不重复，2026原文待核</t>
  </si>
  <si>
    <t>公共秘书、昆才优享、教育医疗、算力与产业对接</t>
  </si>
  <si>
    <t>免费工位最长12个月；人才房票与购房二选一</t>
  </si>
  <si>
    <t>昆山双创(2).docx B57、B122—148</t>
  </si>
  <si>
    <t>省双创1:1；国家生活补助最高1:1.5；同类就高</t>
  </si>
  <si>
    <t>领军启航/伙伴；教育、医疗、随迁另核条件</t>
  </si>
  <si>
    <t>常规场地500㎡；重大5000、成长1000㎡；平台补贴3年累计50万</t>
  </si>
  <si>
    <t>金鸡湖科技领军人才创新创业工程专题介绍(2).docx B75—82</t>
  </si>
  <si>
    <t>同时省市区从高不重复；省团队1:1最高500等</t>
  </si>
  <si>
    <t>高层次人才服务卡；苏新乐居；教育医疗与市卡分类</t>
  </si>
  <si>
    <t>服务卡身份不是自动市级C类；文档未列场地面积</t>
  </si>
  <si>
    <t>苏州高新区科技创新创业领军人才计划专题介绍_2026(2).docx B80—85</t>
  </si>
  <si>
    <t>区省市分别申报；配套和补差不直接累加</t>
  </si>
  <si>
    <t>人才公寓、研发办公、家属子女、投融资与产学研</t>
  </si>
  <si>
    <t>科贷通全区31.18亿元不是人才个人额度</t>
  </si>
  <si>
    <t>苏州吴江区创新创业领军人才计划专题介绍_2026(2).docx B65、B69—78</t>
  </si>
  <si>
    <t>市级项目区承担可叠加；国家省1:1；安家就高</t>
  </si>
  <si>
    <t>相才汇、英才卡、教育医疗；学费≤4万/年、体检≤4000元按资格</t>
  </si>
  <si>
    <t>团队办公500㎡；中试2000㎡1年；相才贷个人200万与企业贷款分列</t>
  </si>
  <si>
    <t>相城区科技领军人才计划(1).docx B72—82</t>
  </si>
  <si>
    <t>四地常规额度画像</t>
  </si>
  <si>
    <t>雷达值=本地上限÷图中四地该维度最高值；仅比较金额，不加权、不求总分。常熟缺额、吴中住房冲突、园区综合口径、姑苏区无独立团队，未入雷达。</t>
  </si>
  <si>
    <t>维度</t>
  </si>
  <si>
    <t>四地最大值</t>
  </si>
  <si>
    <t>创业经费</t>
  </si>
  <si>
    <t>企业创新经费</t>
  </si>
  <si>
    <t>常规团队经费</t>
  </si>
  <si>
    <t>创业住房</t>
  </si>
  <si>
    <t>归一化维度</t>
  </si>
  <si>
    <t>企业贷款额度由少到多（融资工具，万元）</t>
  </si>
  <si>
    <t>上限</t>
  </si>
  <si>
    <t>住房比较的共同检查项</t>
  </si>
  <si>
    <t>核定额度与房价比例 → 区域/新房限制 → 唯一住房或产权份额 → 购房与房票有效期 → 考核条件 → 租贴抵扣 → 财政结算对象。</t>
  </si>
  <si>
    <t>吴江房票给房企结算；相城房票可抵首付且纳入安家；昆山房票为对应补贴60%且最高房款30%；常熟2025房票最高房款40%，2026衔接待核。</t>
  </si>
  <si>
    <t>历史申报及立项数据</t>
  </si>
  <si>
    <t>按地区保留原始年份、批次、阶段、单位和来源等级；不制作不具可比性的八地通过率/年度总量排名。</t>
  </si>
  <si>
    <t>年度/披露年</t>
  </si>
  <si>
    <t>批次或期间</t>
  </si>
  <si>
    <t>结果阶段</t>
  </si>
  <si>
    <t>文档数量/边界值</t>
  </si>
  <si>
    <t>同口径申报数</t>
  </si>
  <si>
    <t>单位</t>
  </si>
  <si>
    <t>统计范围</t>
  </si>
  <si>
    <t>证据属性</t>
  </si>
  <si>
    <t>来源定位</t>
  </si>
  <si>
    <t>解释和限制</t>
  </si>
  <si>
    <t>局部数量之比</t>
  </si>
  <si>
    <t>全年</t>
  </si>
  <si>
    <t>正式立项</t>
  </si>
  <si>
    <t>东吴区级</t>
  </si>
  <si>
    <t>官方披露（按文档）</t>
  </si>
  <si>
    <t>东吴领军人才政策(4).docx B131</t>
  </si>
  <si>
    <t>不能与2025单批算年度增速</t>
  </si>
  <si>
    <t>反推约数</t>
  </si>
  <si>
    <t>由103/1.241反推</t>
  </si>
  <si>
    <t>非官方直接数；不作精确趋势</t>
  </si>
  <si>
    <t>目标下限</t>
  </si>
  <si>
    <t>目标“超100”</t>
  </si>
  <si>
    <t>东吴领军人才政策(4).docx B128、131</t>
  </si>
  <si>
    <t>非完成实绩</t>
  </si>
  <si>
    <t>第二批</t>
  </si>
  <si>
    <t>拟立项</t>
  </si>
  <si>
    <t>第三方清点；日期混排</t>
  </si>
  <si>
    <t>东吴领军人才政策(4).docx B143—147</t>
  </si>
  <si>
    <t>可算47/77描述比例，非2026个人成功率</t>
  </si>
  <si>
    <t>第一批</t>
  </si>
  <si>
    <t>拟认定</t>
  </si>
  <si>
    <t>姑苏区级</t>
  </si>
  <si>
    <t>文档称已核实</t>
  </si>
  <si>
    <t>姑苏区领军人才政策(1).docx B65</t>
  </si>
  <si>
    <t>缺第二批</t>
  </si>
  <si>
    <t>公示批次</t>
  </si>
  <si>
    <t>名单全文口径</t>
  </si>
  <si>
    <t>三个已知批次合42，不是四批也非三年完整总数</t>
  </si>
  <si>
    <t>常熟本级</t>
  </si>
  <si>
    <t>公示转载名单</t>
  </si>
  <si>
    <t>常熟市昆承英才科技创新创业领军人才计划_2026(1).docx B68—73</t>
  </si>
  <si>
    <t>创业43、创新10、待落户24、大赛9</t>
  </si>
  <si>
    <t>梅李镇全年</t>
  </si>
  <si>
    <t>获评</t>
  </si>
  <si>
    <t>镇域</t>
  </si>
  <si>
    <t>文档引镇概况</t>
  </si>
  <si>
    <t>常熟市昆承英才科技创新创业领军人才计划_2026(1).docx B68、76</t>
  </si>
  <si>
    <t>1/6仅镇域比例</t>
  </si>
  <si>
    <t>常熟高新区全年</t>
  </si>
  <si>
    <t>板块</t>
  </si>
  <si>
    <t>官方报道（按文档）</t>
  </si>
  <si>
    <t>常熟市昆承英才科技创新创业领军人才计划_2026(1).docx B68</t>
  </si>
  <si>
    <t>不能代表全市</t>
  </si>
  <si>
    <t>入选</t>
  </si>
  <si>
    <t>人才</t>
  </si>
  <si>
    <t>昆山市本级</t>
  </si>
  <si>
    <t>来源标签不完整</t>
  </si>
  <si>
    <t>昆山双创(2).docx B94</t>
  </si>
  <si>
    <t>75%等结构占比缺可追溯明细</t>
  </si>
  <si>
    <t>新增</t>
  </si>
  <si>
    <t>人才/团队</t>
  </si>
  <si>
    <t>各层级合计</t>
  </si>
  <si>
    <t>昆山双创(2).docx B101</t>
  </si>
  <si>
    <t>不与市本级128相比</t>
  </si>
  <si>
    <t>昆山双创(2).docx B110</t>
  </si>
  <si>
    <t>不作2026本级获评量</t>
  </si>
  <si>
    <t>约数/反推</t>
  </si>
  <si>
    <t>29/40.85%反推附近值</t>
  </si>
  <si>
    <t>昆山双创(2).docx B104</t>
  </si>
  <si>
    <t>非精确名单计数</t>
  </si>
  <si>
    <t>18届第一批</t>
  </si>
  <si>
    <t>现场评审</t>
  </si>
  <si>
    <t>园区工程</t>
  </si>
  <si>
    <t>官方新闻（按文档）</t>
  </si>
  <si>
    <t>金鸡湖科技领军人才创新创业工程专题介绍(2).docx B67</t>
  </si>
  <si>
    <t>申报近1000，不计算精确通过率</t>
  </si>
  <si>
    <t>18届新闻披露</t>
  </si>
  <si>
    <t>入围</t>
  </si>
  <si>
    <t>披露年2025不代表项目年度2025；非正式立项</t>
  </si>
  <si>
    <t>20届第一批</t>
  </si>
  <si>
    <t>申报下限</t>
  </si>
  <si>
    <t>原文“超700”</t>
  </si>
  <si>
    <t>面试200余，不作精确比例</t>
  </si>
  <si>
    <t>截至6月</t>
  </si>
  <si>
    <t>累计引进下限</t>
  </si>
  <si>
    <t>园区工程累计</t>
  </si>
  <si>
    <t>原文“超3600”</t>
  </si>
  <si>
    <t>金鸡湖科技领军人才创新创业工程专题介绍(2).docx B70</t>
  </si>
  <si>
    <t>非年度立项</t>
  </si>
  <si>
    <t>高新区区级</t>
  </si>
  <si>
    <t>官方公报（按文档）</t>
  </si>
  <si>
    <t>苏州高新区科技创新创业领军人才计划专题介绍_2026(2).docx B71</t>
  </si>
  <si>
    <t>缺全量申报分母</t>
  </si>
  <si>
    <t>来源高新区的协会转载</t>
  </si>
  <si>
    <t>光子12是子集，不另加</t>
  </si>
  <si>
    <t>第一批/30批</t>
  </si>
  <si>
    <t>吴江区级</t>
  </si>
  <si>
    <t>正式通知（按文档）</t>
  </si>
  <si>
    <t>苏州吴江区创新创业领军人才计划专题介绍_2026(2).docx B59</t>
  </si>
  <si>
    <t>不可与第二批拟立项合成全年正式数</t>
  </si>
  <si>
    <t>第二批/31批</t>
  </si>
  <si>
    <t>公示（按文档）</t>
  </si>
  <si>
    <t>不能与首批36写为全年正式83</t>
  </si>
  <si>
    <t>苏州市级</t>
  </si>
  <si>
    <t>区科技局报告</t>
  </si>
  <si>
    <t>非吴江区32批数量</t>
  </si>
  <si>
    <t>相城区级</t>
  </si>
  <si>
    <t>转载名单逐项统计</t>
  </si>
  <si>
    <t>相城区科技领军人才计划(1).docx B60—65</t>
  </si>
  <si>
    <t>创业27创新4；单批</t>
  </si>
  <si>
    <t>全年通知</t>
  </si>
  <si>
    <t>正式认定</t>
  </si>
  <si>
    <t>团队+人才</t>
  </si>
  <si>
    <t>正式通知转载</t>
  </si>
  <si>
    <t>1团队+34人才；拟名单创业27创新7</t>
  </si>
  <si>
    <t>可计算但不能泛化的比例</t>
  </si>
  <si>
    <t>东吴2025第二批47/77=61.04%（第三方、日期有混排）；常熟梅李2024获评1/申报6=16.67%（仅镇域）。</t>
  </si>
  <si>
    <t>这些比例没有相同地区、年度、类别与审核标准，不可比较成“哪个地区更容易”。</t>
  </si>
  <si>
    <t>常熟2025第二批拟立项结构</t>
  </si>
  <si>
    <t>类别</t>
  </si>
  <si>
    <t>拟立项数</t>
  </si>
  <si>
    <t>占比</t>
  </si>
  <si>
    <t>创业已落户</t>
  </si>
  <si>
    <t>创新</t>
  </si>
  <si>
    <t>创业待落户</t>
  </si>
  <si>
    <t>创业待落户大赛</t>
  </si>
  <si>
    <t>合计</t>
  </si>
  <si>
    <t>上表86项中，待落户与大赛共33项，仍需落实后续落地条件。来源：常熟文档B71—73。</t>
  </si>
  <si>
    <t>政策金额原始输入</t>
  </si>
  <si>
    <t>金额单位：万元人民币。空白=未明确/不适用；真实零仅用于姑苏区创新项目经费。未另行联网核验。</t>
  </si>
  <si>
    <t>编号</t>
  </si>
  <si>
    <t>子类</t>
  </si>
  <si>
    <t>最低/最低档</t>
  </si>
  <si>
    <t>最高/最高档</t>
  </si>
  <si>
    <t>原文档次</t>
  </si>
  <si>
    <t>资金性质</t>
  </si>
  <si>
    <t>适用及证据边界</t>
  </si>
  <si>
    <t>附件来源</t>
  </si>
  <si>
    <t>原文块定位</t>
  </si>
  <si>
    <t>区间跨度</t>
  </si>
  <si>
    <t>P01</t>
  </si>
  <si>
    <t>创业</t>
  </si>
  <si>
    <t>常规项目</t>
  </si>
  <si>
    <t>项目经费</t>
  </si>
  <si>
    <t>现行文档口径</t>
  </si>
  <si>
    <t>东吴领军人才政策(4).docx</t>
  </si>
  <si>
    <t>B11</t>
  </si>
  <si>
    <t>P02</t>
  </si>
  <si>
    <t>领军类</t>
  </si>
  <si>
    <t>2021办法＋2025通知；2026批次待核</t>
  </si>
  <si>
    <t>姑苏区领军人才政策(1).docx</t>
  </si>
  <si>
    <t>B18</t>
  </si>
  <si>
    <t>P03</t>
  </si>
  <si>
    <t>常规已落户</t>
  </si>
  <si>
    <t>2025新细则完整资金条款缺失</t>
  </si>
  <si>
    <t>常熟市昆承英才科技创新创业领军人才计划_2026(1).docx</t>
  </si>
  <si>
    <t>B24—26</t>
  </si>
  <si>
    <t>P04</t>
  </si>
  <si>
    <t>文档列2026额度</t>
  </si>
  <si>
    <t>昆山双创(2).docx</t>
  </si>
  <si>
    <t>B47—52</t>
  </si>
  <si>
    <t>P05</t>
  </si>
  <si>
    <t>常规领军</t>
  </si>
  <si>
    <t>启动资金</t>
  </si>
  <si>
    <t>2026第二批</t>
  </si>
  <si>
    <t>金鸡湖科技领军人才创新创业工程专题介绍(2).docx</t>
  </si>
  <si>
    <t>B7、26</t>
  </si>
  <si>
    <t>P06</t>
  </si>
  <si>
    <t>2026口径；较高档另有实缴门槛</t>
  </si>
  <si>
    <t>苏州高新区科技创新创业领军人才计划专题介绍_2026(2).docx</t>
  </si>
  <si>
    <t>B10、16</t>
  </si>
  <si>
    <t>P07</t>
  </si>
  <si>
    <t>2025新版＋2026答问</t>
  </si>
  <si>
    <t>苏州吴江区创新创业领军人才计划专题介绍_2026(2).docx</t>
  </si>
  <si>
    <t>B6</t>
  </si>
  <si>
    <t>P08</t>
  </si>
  <si>
    <t>项目资助</t>
  </si>
  <si>
    <t>不含特别优秀上浮</t>
  </si>
  <si>
    <t>相城区科技领军人才计划(1).docx</t>
  </si>
  <si>
    <t>B10—12</t>
  </si>
  <si>
    <t>P09</t>
  </si>
  <si>
    <t>个人</t>
  </si>
  <si>
    <t>50—100</t>
  </si>
  <si>
    <t>B21</t>
  </si>
  <si>
    <t>P10</t>
  </si>
  <si>
    <t>无项目资助</t>
  </si>
  <si>
    <t>真实零；另有企业引才与住房补贴</t>
  </si>
  <si>
    <t>P11</t>
  </si>
  <si>
    <t>新细则完整资金条款缺失</t>
  </si>
  <si>
    <t>P12</t>
  </si>
  <si>
    <t>企业创新</t>
  </si>
  <si>
    <t>100 / 200</t>
  </si>
  <si>
    <t>不含高校院所60万</t>
  </si>
  <si>
    <t>B51</t>
  </si>
  <si>
    <t>P13</t>
  </si>
  <si>
    <t>综合补贴</t>
  </si>
  <si>
    <t>非纯项目经费；单列不作严格同口径排名</t>
  </si>
  <si>
    <t>P14</t>
  </si>
  <si>
    <t>B10</t>
  </si>
  <si>
    <t>P15</t>
  </si>
  <si>
    <t>P16</t>
  </si>
  <si>
    <t>50 / 80 / 100</t>
  </si>
  <si>
    <t>P17</t>
  </si>
  <si>
    <t>团队</t>
  </si>
  <si>
    <t>重大创新团队</t>
  </si>
  <si>
    <t>300—1000</t>
  </si>
  <si>
    <t>投入门槛文内冲突，先核对</t>
  </si>
  <si>
    <t>B31、28、80</t>
  </si>
  <si>
    <t>P18</t>
  </si>
  <si>
    <t>独立团队资助档</t>
  </si>
  <si>
    <t>未单列</t>
  </si>
  <si>
    <t>文档未提供独立团队金额表</t>
  </si>
  <si>
    <t>B3—6、18</t>
  </si>
  <si>
    <t>P19</t>
  </si>
  <si>
    <t>双创团队</t>
  </si>
  <si>
    <t>2020旧500/800/1000不作现行数</t>
  </si>
  <si>
    <t>B24—36</t>
  </si>
  <si>
    <t>P20</t>
  </si>
  <si>
    <t>创业团队</t>
  </si>
  <si>
    <t>400 / 500 / 1000</t>
  </si>
  <si>
    <t>创新团队另列300/400</t>
  </si>
  <si>
    <t>B47</t>
  </si>
  <si>
    <t>P21</t>
  </si>
  <si>
    <t>特殊创业</t>
  </si>
  <si>
    <t>重大领军</t>
  </si>
  <si>
    <t>重大创业类别，非独立团队类别</t>
  </si>
  <si>
    <t>P22</t>
  </si>
  <si>
    <t>重点创新团队</t>
  </si>
  <si>
    <t>400 / 500 / 600</t>
  </si>
  <si>
    <t>与顶尖团队1000—5000分开</t>
  </si>
  <si>
    <t>P23</t>
  </si>
  <si>
    <t>重大创新创业团队</t>
  </si>
  <si>
    <t>300 / 500 / 1000</t>
  </si>
  <si>
    <t>顶尖综合1亿元不并入</t>
  </si>
  <si>
    <t>B6、8</t>
  </si>
  <si>
    <t>P24</t>
  </si>
  <si>
    <t>重点双创团队</t>
  </si>
  <si>
    <t>400 / 600 / 800</t>
  </si>
  <si>
    <t>P25</t>
  </si>
  <si>
    <t>住房</t>
  </si>
  <si>
    <t>全类别新细则范围</t>
  </si>
  <si>
    <t>50—200</t>
  </si>
  <si>
    <t>购房补贴</t>
  </si>
  <si>
    <t>文内新旧冲突；不分配为创业档</t>
  </si>
  <si>
    <t>B51—56</t>
  </si>
  <si>
    <t>P26</t>
  </si>
  <si>
    <t>创业领军</t>
  </si>
  <si>
    <t>孵化、创新最高50；非市级姑苏计划</t>
  </si>
  <si>
    <t>B18、24</t>
  </si>
  <si>
    <t>P27</t>
  </si>
  <si>
    <t>双创人才房票</t>
  </si>
  <si>
    <t>人才房票</t>
  </si>
  <si>
    <t>2025说明；2026具体档次待核</t>
  </si>
  <si>
    <t>B39—40</t>
  </si>
  <si>
    <t>P28</t>
  </si>
  <si>
    <t>创业个人</t>
  </si>
  <si>
    <t>购房款50%；团队最高100；上级累计200</t>
  </si>
  <si>
    <t>B70—75</t>
  </si>
  <si>
    <t>P29</t>
  </si>
  <si>
    <t>常规创业</t>
  </si>
  <si>
    <t>2026第二批；重大200、成长150另列</t>
  </si>
  <si>
    <t>B7、36</t>
  </si>
  <si>
    <t>P30</t>
  </si>
  <si>
    <t>立项后3年内区内购房</t>
  </si>
  <si>
    <t>B10、30—31</t>
  </si>
  <si>
    <t>P31</t>
  </si>
  <si>
    <t>与创业项目档次对应</t>
  </si>
  <si>
    <t>B6、32—42</t>
  </si>
  <si>
    <t>P32</t>
  </si>
  <si>
    <t>安家补贴</t>
  </si>
  <si>
    <t>房票纳入安家；房票最高50</t>
  </si>
  <si>
    <t>B10、30—35</t>
  </si>
  <si>
    <t>P33</t>
  </si>
  <si>
    <t>孵化</t>
  </si>
  <si>
    <t>创业孵化</t>
  </si>
  <si>
    <t>最高50</t>
  </si>
  <si>
    <t>2025受理通道</t>
  </si>
  <si>
    <t>P34</t>
  </si>
  <si>
    <t>待落户</t>
  </si>
  <si>
    <t>160</t>
  </si>
  <si>
    <t>综合扶持</t>
  </si>
  <si>
    <t>资格1年；落户并考察后兑现，不拆现金</t>
  </si>
  <si>
    <t>B21、24</t>
  </si>
  <si>
    <t>P35</t>
  </si>
  <si>
    <t>40</t>
  </si>
  <si>
    <t>资格1年；完成入职后兑现</t>
  </si>
  <si>
    <t>P36</t>
  </si>
  <si>
    <t>创业孵育</t>
  </si>
  <si>
    <t>60</t>
  </si>
  <si>
    <t>固定档次</t>
  </si>
  <si>
    <t>B49</t>
  </si>
  <si>
    <t>P37</t>
  </si>
  <si>
    <t>成长</t>
  </si>
  <si>
    <t>创业成长</t>
  </si>
  <si>
    <t>B50</t>
  </si>
  <si>
    <t>P38</t>
  </si>
  <si>
    <t>青年</t>
  </si>
  <si>
    <t>青年领军</t>
  </si>
  <si>
    <t>B52</t>
  </si>
  <si>
    <t>P39</t>
  </si>
  <si>
    <t>创新补充</t>
  </si>
  <si>
    <t>高校院所</t>
  </si>
  <si>
    <t>与企业创新分开</t>
  </si>
  <si>
    <t>P40</t>
  </si>
  <si>
    <t>团队补充</t>
  </si>
  <si>
    <t>创新团队</t>
  </si>
  <si>
    <t>300 / 400</t>
  </si>
  <si>
    <t>与创业团队分开</t>
  </si>
  <si>
    <t>P41</t>
  </si>
  <si>
    <t>80</t>
  </si>
  <si>
    <t>达条件一次性；第一批单列</t>
  </si>
  <si>
    <t>P42</t>
  </si>
  <si>
    <t>顶尖</t>
  </si>
  <si>
    <t>顶尖人才团队</t>
  </si>
  <si>
    <t>1000—5000</t>
  </si>
  <si>
    <t>高门槛；不与常规团队排名混用</t>
  </si>
  <si>
    <t>B10、21</t>
  </si>
  <si>
    <t>P43</t>
  </si>
  <si>
    <t>特别优秀上浮</t>
  </si>
  <si>
    <t>普通最高100，上浮后总体最高300</t>
  </si>
  <si>
    <t>300非普通固定档次</t>
  </si>
  <si>
    <t>P44</t>
  </si>
  <si>
    <t>青年住房最高50</t>
  </si>
  <si>
    <t>B10、24</t>
  </si>
  <si>
    <t>P45</t>
  </si>
  <si>
    <t>后续奖励</t>
  </si>
  <si>
    <t>成长奖励</t>
  </si>
  <si>
    <t>最高1000</t>
  </si>
  <si>
    <t>奖励</t>
  </si>
  <si>
    <t>附加条件；不与基础经费直接相加</t>
  </si>
  <si>
    <t>P46</t>
  </si>
  <si>
    <t>滚动扶持</t>
  </si>
  <si>
    <t>最高200</t>
  </si>
  <si>
    <t>发展优良另评</t>
  </si>
  <si>
    <t>P47</t>
  </si>
  <si>
    <t>2025未单列成长通道；需核受理</t>
  </si>
  <si>
    <t>B20—22</t>
  </si>
  <si>
    <t>P48</t>
  </si>
  <si>
    <t>上级追加</t>
  </si>
  <si>
    <t>自主申报获评上级计划条件</t>
  </si>
  <si>
    <t>B28</t>
  </si>
  <si>
    <t>P49</t>
  </si>
  <si>
    <t>连续3年营收增长20%以上等条件</t>
  </si>
  <si>
    <t>B128</t>
  </si>
  <si>
    <t>P50</t>
  </si>
  <si>
    <t>成长类奖励</t>
  </si>
  <si>
    <t>累计最高2000</t>
  </si>
  <si>
    <t>立项5年内年度主营收入≤2%</t>
  </si>
  <si>
    <t>B26</t>
  </si>
  <si>
    <t>P51</t>
  </si>
  <si>
    <t>滚动支持</t>
  </si>
  <si>
    <t>绩效择优</t>
  </si>
  <si>
    <t>P52</t>
  </si>
  <si>
    <t>验收后重点产业项目条件</t>
  </si>
  <si>
    <t>B12、31</t>
  </si>
  <si>
    <t>原文摘录与来源链接</t>
  </si>
  <si>
    <t>B编号=Word正文顶层段落或表格顺序（含空段落）；定位表格时按整表计一个块。网址为上传文档内嵌链接。</t>
  </si>
  <si>
    <t>类型</t>
  </si>
  <si>
    <t>附件文件</t>
  </si>
  <si>
    <t>原文块/链接标题</t>
  </si>
  <si>
    <t>摘录或URL</t>
  </si>
  <si>
    <t>原文摘录</t>
  </si>
  <si>
    <t>支持对象 | 科研经费档次 | 住房支持 | 重大创新创业团队 | 300 / 500 / 1000万元 | 核心成员50万元；领军人才150万元；顶尖人才300万元人才房票 | 创业领军人才 | 100 / 200 / 300万元 | 按项目档次50 / 100 / 150万元人才房票 | 创新领军人才 | 50 / 100 / 150万元 | 50万元人才房票</t>
  </si>
  <si>
    <t>附件内原文；非本次独立网页核验</t>
  </si>
  <si>
    <t>B8</t>
  </si>
  <si>
    <t>出处：[3]及[4]第三部分。顶尖人才团队最高1亿元为项目综合扶持口径，不应等同于所有团队均可领取1亿元现金科研经费。房票金额须经认定和核定，不属于自动到账待遇。</t>
  </si>
  <si>
    <t>B32</t>
  </si>
  <si>
    <t>房票是用于在吴江购置新建商品住房的补贴凭证，遵循一人一票、专款专用。领军计划认定后取得申请资格，人才须在与房企签订意向购房合同前申请房票。区人社局核定额度，区委人才办与区住建局发放。[4：第二至四部分]</t>
  </si>
  <si>
    <t>B42</t>
  </si>
  <si>
    <t>应分别核对“细则有效期”和“单张房票12个月使用期”。细则同时约束政策执行期内有效，因此不能仅凭12个月期限推定政策到期后仍可使用；跨届满日期的房票须取得主管部门明确办理口径。[4：第五部分，阅读提示]</t>
  </si>
  <si>
    <t>内嵌链接</t>
  </si>
  <si>
    <t>查看来源 1</t>
  </si>
  <si>
    <t>https://www.wujiang.gov.cn/zgwj/kjcs/202511/7a5d447af04c4ddfb1d5e87a36a45654.shtml</t>
  </si>
  <si>
    <t>从附件关系文件提取；链接有效性未重新核验</t>
  </si>
  <si>
    <t>查看来源 2</t>
  </si>
  <si>
    <t>https://www.suzhou.gov.cn/szsrmzf/rdwd3/202601/18c9614112ac4d37b574c3a81ee28c7b.shtml</t>
  </si>
  <si>
    <t>查看来源 3</t>
  </si>
  <si>
    <t>https://www.suzhou.gov.cn/szsrmzf/rdwd3/202601/a72e55feaf7b46a7b391698e4c9e890d.shtml</t>
  </si>
  <si>
    <t>查看来源 4</t>
  </si>
  <si>
    <t>https://www.szwjtalent.com/PolicyD/102257.aspx</t>
  </si>
  <si>
    <t>查看来源 5</t>
  </si>
  <si>
    <t>https://www.suzhou.gov.cn/szsrmzf/rdwd3/202601/8b2238d98fda4a9da92f770090b4cee5.shtml</t>
  </si>
  <si>
    <t>查看来源 6</t>
  </si>
  <si>
    <t>https://www.wujiang.gov.cn/zgwj/rdwdjycy/202511/d992e24118854b429e6c7659609807c5.shtml</t>
  </si>
  <si>
    <t>查看来源 7</t>
  </si>
  <si>
    <t>https://www.suzhou.gov.cn/szsrmzf/rdwd3/202601/85ecadc06f4646aebb6df03b6e5c3b2a.shtml</t>
  </si>
  <si>
    <t>查看来源 8</t>
  </si>
  <si>
    <t>https://www.keceyun.com/policy/newsdetail/504991.html</t>
  </si>
  <si>
    <t>查看来源 9</t>
  </si>
  <si>
    <t>https://www.suzhou.gov.cn/szsrmzf/mszx/202603/f6ed78aaaafc4bc6897e60ae79f81751.shtml</t>
  </si>
  <si>
    <t>查看来源 10</t>
  </si>
  <si>
    <t>https://sst.suzhou.gov.cn/ndaservplat/Apps/sme/index.php?s=/Notice/noticeDetail/id/629/query_value1/zone/orderway/time/i/3/recordfrom/noticecenter</t>
  </si>
  <si>
    <t>查看来源 11</t>
  </si>
  <si>
    <t>https://www.wujiang.gov.cn/zgwj/gggsh/202502/f2740225e9b840ba89999493d55cadfa.shtml</t>
  </si>
  <si>
    <t>查看来源 12</t>
  </si>
  <si>
    <t>https://szwjtalent.com/Details/102238.aspx</t>
  </si>
  <si>
    <t>查看来源 13</t>
  </si>
  <si>
    <t>https://www.wujiang.gov.cn/zgwj/yfxz/202601/0674a56280cb4f9986a89662e5a8e606.shtml</t>
  </si>
  <si>
    <t>查看来源 14</t>
  </si>
  <si>
    <t>https://www.suzhou.gov.cn/szsrmzf/szyw/202503/a94a8686f69c4d4fa0a910144ea24925.shtml</t>
  </si>
  <si>
    <t>第三十二批公示官方原文</t>
  </si>
  <si>
    <t>https://www.wujiang.gov.cn/zgwj/gggsh/202602/c7694b72f7534f5ab8597e1ba68dd8c8.shtml</t>
  </si>
  <si>
    <t>1、100-300万元项目经费；一次性最高1000万元成长奖励。</t>
  </si>
  <si>
    <t>1、50-100万元项目经费。</t>
  </si>
  <si>
    <t>4、具有自主知识产权，3年内项目总投入不少于3000万元。</t>
  </si>
  <si>
    <t>B31</t>
  </si>
  <si>
    <t>1、300-1000万元的项目资助。</t>
  </si>
  <si>
    <t>二、购房补贴：分年度拨付，标准 50 万～200 万元</t>
  </si>
  <si>
    <t>B56</t>
  </si>
  <si>
    <t>新政把区间表述为  | 50 万～200 万元 | （旧政为 50～250 万元），上限有所下调，具体分档需以 2026 年度申领通知为准。</t>
  </si>
  <si>
    <t>B80</t>
  </si>
  <si>
    <t>重大创新创业团队 | ：1名领军+2名以上核心成员、成员普遍符合创新领军人才资质、2.5年内来吴中；创业团队总股权≥30%、现金实缴≥200万元；项目总投入≥1亿元、已投入≥3000万元（创业团队融资≥2000万元可认定）。</t>
  </si>
  <si>
    <t>2026年吴中区政府工作报告</t>
  </si>
  <si>
    <t>http://www.szwz.gov.cn/szwz/c100147/202602/6fa7d1dd27cb4f72982e632591323f1c.shtml</t>
  </si>
  <si>
    <t>2024年吴中区政府工作报告</t>
  </si>
  <si>
    <t>http://www.szwz.gov.cn/szwz/c100147/202401/5feeb2fd3d114201b5deb4dde5707307.shtml</t>
  </si>
  <si>
    <t>关于出台更具吸引力的引进人才优惠政策的建议（答复）</t>
  </si>
  <si>
    <t>http://www.szwz.gov.cn/szwz/qrddbjy/202211/6a29e3af07074d068af4a6a5e6e2e227.shtml</t>
  </si>
  <si>
    <t>苏州市吴中区科学技术局2023年工作总结和下一步工作计划</t>
  </si>
  <si>
    <t>http://www.szwz.gov.cn/szwz/c108682/202403/f616c8ce66b04e9bb2299aaa974a4045.shtml</t>
  </si>
  <si>
    <t>官方第一批公示通知</t>
  </si>
  <si>
    <t>http://www.wzqyfw.com/wzepservice/wzservplat/Apps/sme/index.php?s=/Home/Notice/noticeDetail/id/1809/query_value1//orderway//i/3</t>
  </si>
  <si>
    <t>新每创：东吴领军2025第二批公示</t>
  </si>
  <si>
    <t>https://xm-chuang.com/blog/dongwu-leading-talent-batch2-2025/</t>
  </si>
  <si>
    <t>2023年吴中区政府工作报告</t>
  </si>
  <si>
    <t>http://www.szwz.gov.cn/szwz/c100147/202301/a1047df3c59b49f6b27fdca2c2ce821d.shtml</t>
  </si>
  <si>
    <t>2023年工作总结</t>
  </si>
  <si>
    <t>2024年报告</t>
  </si>
  <si>
    <t>2025年报告</t>
  </si>
  <si>
    <t>http://www.szwz.gov.cn/szwz/c100147/202501/56f5b887ca64406791f96dcb7c512a19.shtml</t>
  </si>
  <si>
    <t>苏州市人社局：吴中区推动"数字"与"精英"相互成就</t>
  </si>
  <si>
    <t>http://hrss.suzhou.gov.cn/jsszhrss/qxdt/202308/4a0d1d45a43a47dbb5833d8d4d9db2ec.shtml</t>
  </si>
  <si>
    <t>新每创：2025第二批受理名单 77 家</t>
  </si>
  <si>
    <t>http://xm-chuang.com/blog/dongwu-lingjun-shouli-batch2-2025/</t>
  </si>
  <si>
    <t>新每创：2025第二批公示 47 个项目入选</t>
  </si>
  <si>
    <t>《东吴科技领军人才计划实施细则》</t>
  </si>
  <si>
    <t>https://www.wzqyfw.com/wzepservice/wzservplat/Apps/psp/index.php?s=/Home/PolicySearch/policydetail/id/112524/query_value1//orderway//i/3</t>
  </si>
  <si>
    <t>《关于支持东吴科技领军人才高质量发展的若干政策措施》</t>
  </si>
  <si>
    <t>http://wzqyfw.com/wzepservice/wzservplat/Apps/psp/index.php?s=/Home/PolicySearch/policydetail/id/112523/query_value1/province/orderway/time/i/3</t>
  </si>
  <si>
    <t>关于组织申报2026年度第二批东吴科技领军人才计划的通知</t>
  </si>
  <si>
    <t>http://www.wzqyfw.com/wzepservice/wzservplat/Apps/sme/index.php?s=/Home/Notice/noticeDetail/id/2190/query_value1//orderway//i/3</t>
  </si>
  <si>
    <t>苏州市吴中区政府印发通知（吴政规字〔2025〕8号）</t>
  </si>
  <si>
    <t>http://www.suzhou.gov.cn/szsrmzf/gbzfgfxwj/202604/d9a8bda8ebbe4d4480d0a211f6ecbcff.shtml</t>
  </si>
  <si>
    <t>《吴中区高层次人才享受生活待遇办法》（吴委办〔2018〕17号）</t>
  </si>
  <si>
    <t>https://sst.suzhou.gov.cn/ndaservplat/Apps/psp/index.php?s=/Home/PolicySearch/policydetail/id/111603</t>
  </si>
  <si>
    <t>《苏州市完善人才乐居保障实施办法》</t>
  </si>
  <si>
    <t>http://rcsz.hrss.suzhou.com.cn/download/pdf/%E8%8B%8F%E5%B7%9E%E5%B8%82%E5%AE%8C%E5%96%84%E4%BA%BA%E6%89%8D%E4%B9%90%E5%B1%85%E4%BF%9D%E9%9A%9C%E5%AE%9E%E6%96%BD%E5%8A%9E%E6%B3%95.pdf</t>
  </si>
  <si>
    <t>苏州高层次人才绿色通道服务（姑苏英才卡/苏才码45项）</t>
  </si>
  <si>
    <t>https://www.peopleapp.com/rmharticle/30043626380</t>
  </si>
  <si>
    <t>吴中人才服务体系</t>
  </si>
  <si>
    <t>http://www.szzzb.gov.cn/NewsView/10847.html</t>
  </si>
  <si>
    <t>2025年度吴中区科技领军人才购房补贴拟发放名单公示</t>
  </si>
  <si>
    <t>http://www.wzqyfw.com/wzepservice/wzservplat/Apps/sme/index.php?s=/Home/Notice/noticeDetail/id/2035</t>
  </si>
  <si>
    <t>2025年度安家补贴申领通知</t>
  </si>
  <si>
    <t>https://wzqyfw.com/wzepservice/wzservplat/Apps/sme/index.php?s=/Home/Notice/noticeDetail/id/1915</t>
  </si>
  <si>
    <t>2026年通知可确认：未落户创业项目在命名文件发文后一年内完成落户并通过实地考察，按160万元综合扶持；未落户创新项目一年内完成入职，按40万元综合扶持。后续再次参评获更高档次时，可按规定补差。[1]</t>
  </si>
  <si>
    <t>B24</t>
  </si>
  <si>
    <t>事项 | 已核实内容 | 尚须确认内容 | 待落户创业类 | 综合扶持160万元；资格保留一年；落户并实地考察合格[1] | 金额构成、分期比例、实际拨款日 | 待落户创新类 | 综合扶持40万元；资格保留一年；完成入职手续[1] | 分期比例、考核节点、实际拨款日 | 常规创业 创新 团队 | 按2025版细则及2026立项合同执行[1][3] | 2025版完整档次表及分期条款 | 购房安家补贴 | 须区别传统安家补贴与人才房票 | 2026档次、申领期、分期比例及到账周期</t>
  </si>
  <si>
    <t>核查结论：2026年度可公开核实的申报通知未载明常规项目完整分期比例，也未给出购房安家补贴的年度拨付表。2025版细则完整资金条款尚缺可直接核验的公开全文。因此，不将旧政策4∶3∶3或第三方延用该比例的解释写成已确认的2026统一标准。[1][2][5]</t>
  </si>
  <si>
    <t>B36</t>
  </si>
  <si>
    <t>来源：2020版第十六至十八条[5]。旧档次仅作历史对照，不应列入2026确定可领取金额。</t>
  </si>
  <si>
    <t>B39</t>
  </si>
  <si>
    <t>人才房票：常熟市科技局2025年3月公开说明，双创人才最高150万元，房票可抵扣新房首付、最高抵购房款40%；指定人才群体无需满足社保或个税缴纳期限要求。2026年政府工作报告提出用好新一轮人才房票，具体2026批次资格、房源、有效期及与安家补贴关系仍须核对对应通知。[6][7]</t>
  </si>
  <si>
    <t>B40</t>
  </si>
  <si>
    <t>核对项目 | 执行要点 | 房票金额 | 最高150万元是政策上限，具体人才档次需另核定 | 住房性质 | 2025公开说明为新房首付抵扣，不能直接用于推断二手房待遇 | 支付方式 | 抵扣首付与财政现金到账不同，须查看房票核发和结算规则 | 重复享受 | 未确认传统安家补贴与房票可全额叠加，不作合并承诺 | 发放周期 | 未确认2026统一按年比例或固定到账月份，应以审核通知及合同为准</t>
  </si>
  <si>
    <t>[1] 常熟市科技局 2026年度第一批申报通知  科策云全文转载  2026年4月1日</t>
  </si>
  <si>
    <t>https://www.keceyun.com/policy/newsdetail/594388.html</t>
  </si>
  <si>
    <t>[2] 常熟市科技局 第一批通知原文定位  访问时跳转首页</t>
  </si>
  <si>
    <t>https://www.changshu.gov.cn/zgcs/c107350/202605/ead4b383137f42b7b8730e5085839994.shtml</t>
  </si>
  <si>
    <t>[3] 2026年第一批拟立项公示  智为铭略转载  公示署期2026年7月3日</t>
  </si>
  <si>
    <t>https://www.key-way.cn/2838.html</t>
  </si>
  <si>
    <t>[4] 2026第二批通知解读  新每创第三方转述  2026年9月28日</t>
  </si>
  <si>
    <t>https://xm-chuang.com/blog/changshu-kuncheng-talent-four-tracks/</t>
  </si>
  <si>
    <t>[5] 常政办发〔2020〕134号实施细则试行  常熟市政府  历史政策</t>
  </si>
  <si>
    <t>https://www.changshu.gov.cn/zgcs/c108192/202011/79b788a68ca0415cb1a3f13e909d32a9.shtml</t>
  </si>
  <si>
    <t>[6] 科技局为人才安居助力常熟发布房票新政  官方  2025年3月11日</t>
  </si>
  <si>
    <t>https://www.changshu.gov.cn/zgcs/c100297/202503/5da90a20a9064398993e6588f8e65db0.shtml</t>
  </si>
  <si>
    <t>[7] 常熟市2026年政府工作报告  官方  2026年2月4日</t>
  </si>
  <si>
    <t>https://www.changshu.gov.cn/zgcs/c100379/202602/a30b8b4e0b104503ba100b55edb5e3b4.shtml</t>
  </si>
  <si>
    <t>[8] 2025年第二批拟立项名单  科策云全文转载  2025年12月26日</t>
  </si>
  <si>
    <t>https://www.keceyun.com/policy/newsdetail/447753.html</t>
  </si>
  <si>
    <t>[9] 常熟高新区连续五年第一等次  官方  2025年3月18日</t>
  </si>
  <si>
    <t>https://www.changshu.gov.cn/zgcs/c100298/202503/29bb0af242984d7586803a02cb6cb9b1.shtml</t>
  </si>
  <si>
    <t>[10] 梅李镇2024年度概况  官方  2025年8月</t>
  </si>
  <si>
    <t>https://www.changshu.gov.cn/zgcs/c100285/202508/5eafba160358474cad9714498be05a9f.shtml</t>
  </si>
  <si>
    <t>[11] 2025年常熟市国民经济和社会发展公报  官方  2026年6月</t>
  </si>
  <si>
    <t>https://www.changshu.gov.cn/zgcs/c100357/202606/511810bbc19c41f0815f71aab71a2f79.shtml</t>
  </si>
  <si>
    <t>[12] 2026精英创业周常熟分会场活动  常熟市政府  2026年7月</t>
  </si>
  <si>
    <t>https://www.changshu.gov.cn/zgcs/c100490/202607/75bcb0710857492fa91303bc94de790b.shtml</t>
  </si>
  <si>
    <t>[13] 打造人才友好城汇聚青年发展梦  群众网  常熟市委组织部等署名  2026年9月24日</t>
  </si>
  <si>
    <t>https://www.qunzh.com/pub/qzzzs/qzxlk/jczx/2026/202618/202609/t20260924_114503.html</t>
  </si>
  <si>
    <t>[14] 常熟市推出博才荟萃计划诠释人才友好  苏州市人社局  2024年9月29日</t>
  </si>
  <si>
    <t>https://hrss.suzhou.gov.cn/jsszhrss/qxdt/202409/ae11fab1617e404abb824c0cddaa3992.shtml</t>
  </si>
  <si>
    <t>双创团队：最高 1000 万元项目资助，其中创业类分 400/500/1000 万元三档，创新类分 300/400 万元两档。</t>
  </si>
  <si>
    <t>创业领军人才： | 领军100/200/300/400万 | 、孵育 60 万元</t>
  </si>
  <si>
    <t>创业成长人才： | 60 |  万元</t>
  </si>
  <si>
    <t>创新领军人才：企业创新 100/200 万元、高校院所创新 60 万元</t>
  </si>
  <si>
    <t>青年领军人才：60 万元</t>
  </si>
  <si>
    <t>B70</t>
  </si>
  <si>
    <t>补贴比例：按人才新购自有住房购房款的50%核算补贴。</t>
  </si>
  <si>
    <t>B75</t>
  </si>
  <si>
    <t>入选国家级、省级、苏州市级双创计划的人才，按对应层级执行更高标准，按就高原则累计不超过 200 万元。</t>
  </si>
  <si>
    <t>高成长奖励 | ：创业领军人才项目实施期内，企业连续三年主营业务收入增长20%以上的，按地方贡献比例给予最高1000万元的成长奖励。</t>
  </si>
  <si>
    <t>昆山市双创人才计划实施细则（官方 docx）</t>
  </si>
  <si>
    <t>https://data.ks.gov.cn/kss/gsgg/202404/27f0dde69e7d44dea321c8b2b0f80503/files/6cb8124a4277455fab96bc36de3bdef4.docx</t>
  </si>
  <si>
    <t>2026 年度昆山市双创人才计划申报通知</t>
  </si>
  <si>
    <t>https://www.ks.gov.cn/kss/kjzc/202604/cb944b99e51c43b6b206ab6169bb7d2f.shtml</t>
  </si>
  <si>
    <t>苏州日报：昆山最高 1000 万元抢"人"</t>
  </si>
  <si>
    <t>https://www.subaonet.com/2026/szms/0417/nDMQ0ABD.html</t>
  </si>
  <si>
    <t>2024 年度申报通知（旧分类，可作对比）</t>
  </si>
  <si>
    <t>https://www.ks.gov.cn/kss/kjzc/202407/6c6bd83a238c47998d5fe6e64a17673d.shtml</t>
  </si>
  <si>
    <t>苏州市政策服务平台·昆山市双创人才计划实施细则全文（2024-07-01，含第五章拨付条款）</t>
  </si>
  <si>
    <t>https://sst.suzhou.gov.cn/ndaservplat/Apps/psp/index.php?s=/Home/PolicySearch/policydetail/id/112486/query_value1/country/orderway/i/i/3</t>
  </si>
  <si>
    <t>昆山市人民政府·双创人才计划新政报道（2026 额度与购房补贴 200 万）</t>
  </si>
  <si>
    <t>https://www.ks.gov.cn/kss/ttxw/202604/91c9a1a8b42a48a3a89ff9b1486e54b5.shtml</t>
  </si>
  <si>
    <t>苏州本地宝·2026 昆山市人才房票补贴实施细则</t>
  </si>
  <si>
    <t>http://suzhou.bendibao.com/news/202618/134772.shtm</t>
  </si>
  <si>
    <t>苏州市双创中心·2021 版细则全文（含附件1/附件2 拨付过程引用）</t>
  </si>
  <si>
    <t>http://www.szscdyz.com/szscepservplat/servplat/Apps/sme/index.php?s=/Notice/noticeDetail/id/246/query_value1/zone/orderway/time/i/3</t>
  </si>
  <si>
    <t>新每创·昆山房票与购房补贴兑现流程解读（1:1 分担、拨至单位）</t>
  </si>
  <si>
    <t>http://xm-chuang.com/blog/kunshan-rencai-fangpiao-buy/</t>
  </si>
  <si>
    <t>《昆山市双创人才计划实施细则》全文含附件1、附件2原文</t>
  </si>
  <si>
    <t>http://www.chuangxin360.com/guest/policy/policyinfo_86693a58-afe4-4d0f-b73c-86d25592457b/seo.html</t>
  </si>
  <si>
    <t>苏州市政策服务平台·同名文件</t>
  </si>
  <si>
    <t>昆山新政报道（2026 调整点）</t>
  </si>
  <si>
    <t>2026 昆山市人才房票补贴实施细则（60% 反推验证）</t>
  </si>
  <si>
    <t>B7</t>
  </si>
  <si>
    <t>类别 | 主要支持定位 | 核心资金与安居支持 | 创业领军（领军） | 核心技术先进、产业化前景良好的创业项目 | 启动资金100万或300万；2026第二批购房补贴100—150万、分三年拨付。 | 创业领军（重大领军） | 从创业项目中择优遴选 | 启动资金300—1000万，购房补贴200万；按评审、立项及协议落实。 | 创业领军（成长 | ） | 成熟科技项目落地并快速成长；2026第一批单列 | 实施办法：启动资金80万，达条件一次性拨付；购房补贴150万；另设成长奖励。 | 创新领军 | 企业全职引进、领衔技术创新的人才 | 2026第二批给予50—100万综合补贴；人才保障与上级项目配套另按条件办理。</t>
  </si>
  <si>
    <t>项目 | 额度与计算方式 | 拨付安排 | 常规创业启动资金 | 100万或300万；省外专项300万 | 按项目进展分期。2026通知未统一列示各期比例、间隔或到账日。 | 重大领军启动资金 | 300—1000万 | 按项目进展分期；按重大项目立项及协议确定节点。 | 成长类启动资金 | 实施办法规定80万 | 达到相关条件后一次性拨付；成长类须对应当批立项及协议。 | 成长类成长奖励 | 立项5年内，按每年度主营业务收入（不含流水、关联交易）不超过2%；累计≤2000万 | 按创新成长情况及年度经营指标兑现，非一次性全额拨付。 | 创新综合补贴 | 2026第二批50—100万 | 当批通知未统一列示各期比例和发放间隔；按核定额度及协议办理。 | 滚动支持 | 择优最高100万 | 依据项目绩效评估，完成好、技术先进、潜力大的项目择优支持；非入选即得。</t>
  </si>
  <si>
    <t>核对事项 | 2026办理规则 | 适用额度 | 常规创业领军100—150万（2026第二批）；重大领军200万；成长类150万（实施办法）。实际金额以协议为准。 | 申请基础 | 已入选并签署协议，符合基础兑现条件；人才在岗、企业正常运营；人才在园区已购自住房，份额≥50%。 | 笔数与周期 | 2026申报通知：分三年拨付。2026年1月办理通知：除2017年立项项目外，分三次申请拨付，各次申请至少间隔12个月。 | 各期比例 | 2026公开办理通知未列出第一、二、三笔的统一百分比。三次不当然等于每笔1/3，具体金额按协议和审核结果办理。 | 购房时限：2024立项 | 最晚购房日期为签约之日起3年。 | 购房时限：2025立项 | 人才自入选人才计划或到岗之日起3年内，在园区新购买自有住房；2024年前按原政策。 | 购房时限：2026立项 | 1月办理通知未单列2026项目起算规则，应对应2026协议及后续办理规定；不将2024或2025起算规则自动移用。</t>
  </si>
  <si>
    <t>[1] 《苏州工业园区关于深入推进金鸡湖科技领军人才创新创业工程的实施办法》</t>
  </si>
  <si>
    <t>https://www.sipac.gov.cn/szgyyqtzyq/rczc/202506/7aafce4a057043ce8dda4c76b69dfbe0.shtml</t>
  </si>
  <si>
    <t>[2] 第二十届第一批金鸡湖科技领军人才申报通知</t>
  </si>
  <si>
    <t>https://one.sipac.gov.cn/frzrk/ndaservplat/Apps/sme/index.php?s=/Home/Notice/noticeDetail/id/0e5237a7-e1ce-a76c-768e-869cab8e49b9</t>
  </si>
  <si>
    <t>[3] 第二十届第二批金鸡湖科技领军人才申报通知</t>
  </si>
  <si>
    <t>https://www.sipac.gov.cn/kjhxxhj/tzgg/202607/5592bfc4b14a4c2da3e96527320b071a.shtml</t>
  </si>
  <si>
    <t>[4] 园区科技领军人才启动资金办事指南</t>
  </si>
  <si>
    <t>https://tsc.sipac.gov.cn/one/public/Index/talentbizguid?guideid=0f20aeff-a8a4-4159-942a-a27d4c8e76e7</t>
  </si>
  <si>
    <t>[5] 关于领军人才购房补贴流程的通知</t>
  </si>
  <si>
    <t>https://one.sipac.gov.cn/frzrk/ndaservplat/Apps/sme/index.php?s=/Home/Notice/noticeDetail/id/824540b7-5f5d-5c58-2f34-8c48ca4e333c</t>
  </si>
  <si>
    <t>[6] 第十八届第一批科技领军人才评审答辩会顺利举行</t>
  </si>
  <si>
    <t>https://www.sipac.gov.cn/kjhxxhj/toutiao/202407/6f18e39d6caa493c993c1ff3ff0d3bac.shtml</t>
  </si>
  <si>
    <t>[7] 第十八届第二批科技领军人才评审答辩会顺利举行</t>
  </si>
  <si>
    <t>https://www.sipac.gov.cn/kjhxxhj/toutiao/202411/98bf12a312ee4de28b735c24d46f9533.shtml</t>
  </si>
  <si>
    <t>[8] 第二十届第一批金鸡湖科技领军人才评审答辩会顺利举行</t>
  </si>
  <si>
    <t>https://www.sipac.gov.cn/kjhxxhj/toutiao/202606/6475fadfece948719d3655d865b85c06.shtml</t>
  </si>
  <si>
    <t>[9] 第十九届第一批金鸡湖科技领军人才评审答辩会开始啦</t>
  </si>
  <si>
    <t>https://www.sipac.gov.cn/kjhxxhj/gzdt/202506/a5cfe0f80b5647758332472c429ab317.shtml</t>
  </si>
  <si>
    <t>[10] 第十九届第二批金鸡湖科技领军人才评审答辩会举行</t>
  </si>
  <si>
    <t>https://www.sipac.gov.cn/kjhxxhj/toutiao/202510/fd0013ca0d0b4285a9e43436b2e68b78.shtml</t>
  </si>
  <si>
    <t>[11] 苏州工业园区：构筑全球人才“引力场” 再掀创新创业热潮</t>
  </si>
  <si>
    <t>https://www.sipac.gov.cn/szgyyq/202507jyzmtjj/202507/3cb5ce1802784b51b0f73d0c1ffc2bdd.shtml</t>
  </si>
  <si>
    <t>[12] 关于实施“领军登峰”人才支持计划的若干措施</t>
  </si>
  <si>
    <t>https://one.sipac.gov.cn/frzrk/ndaservplat/Apps/psp/index.php?s=/Home/PolicySearch/policydetail/id/111447</t>
  </si>
  <si>
    <t>[13] 人才子女就读园区非公办学校学费补贴申请</t>
  </si>
  <si>
    <t>https://tsc.sipac.gov.cn/one/public/Index/talentbizguid?guideid=02aad7a6-e262-11e9-a519-00505686685f</t>
  </si>
  <si>
    <t>类别 | 项目资助 万元 | 安家补贴上限 万元 | 重点双创团队 | 400 / 600 / 800 | 领军人才150；其他前2名核心成员各100 | 创业领军人才 | 50 / 100；特别优秀最高上浮200% | 100 | 创新领军人才 | 50 / 80 / 100 | 100 | 青年领军人才 | 50 / 80 / 100 | 50</t>
  </si>
  <si>
    <t>B12</t>
  </si>
  <si>
    <t>出处：[1]第16—19条。资助按评审、投入及项目进展分档；“最高”不代表普遍实得。创业项目验收后，符合条件的重点产业项目可另获最高200万元滚动支持。综合意见将区级个人项目总体概括为50—300万元，不应将300万元写成普通固定档次。[1：第17条；9：一第2项]</t>
  </si>
  <si>
    <t>青年创业类：硕士研究生及以上学历学位，年龄不超过35周岁，有相关知识产权或关键技术，为企业主要负责人、主要精力在相城；现金实收出资不少于50万元，股权条件同创业领军。青年创新类：一般具有博士研究生学历学位，原则上不超过35周岁，有相关知名机构研发、管理经历和突出业绩，全职服务相城企业3年以上。[1：第8条]</t>
  </si>
  <si>
    <t>B30</t>
  </si>
  <si>
    <t>资金类别 | 拨付比例或方式 | 发放周期及触发条件 | 项目资助 | 分年度；未统一规定首期和尾款比例 | 按实施情况拨付；立项1年后中期检查，期满验收通过后下达剩余资助。 | 安家补贴 首笔 | 细则为最高50%人才房票；或现金50%路径 | 房票立项后申请。未申请或未使用房票的，在相城购唯一自住用房，立项次年起申请且中期检查通过，发放50%。 | 安家补贴 第二笔 | 细则规定再发放50% | 房屋交付、取得不动产权证、为相城区唯一住房，且项目验收通过；补贴不超过实际购房金额。 | 引才单位奖励 | 中期50%＋验收50% | 中期检查通过后首笔；项目验收通过后第二笔。 | 滚动支持奖励 | 一次性拨付 | 项目承担期结束、验收后符合重点产业等条件，并获认定。</t>
  </si>
  <si>
    <t>B35</t>
  </si>
  <si>
    <t>重点团队领军人才安家补贴最高150万元，但修订房票有50万元上限，因此不能直接将150万元的50%写为可领取75万元房票。超过房票限额部分如何与后续现金衔接，应由住建局和人才头衔归口部门核定，本文不推算。[1；3；9，属政策衔接提示]</t>
  </si>
  <si>
    <t>查看来源正文</t>
  </si>
  <si>
    <t>https://www.keceyun.com/policy/newsdetail/146080.html</t>
  </si>
  <si>
    <t>原文或补充核对链接</t>
  </si>
  <si>
    <t>https://xcqfzx.szxc.gov.cn/xcservplat/Apps/psp/index.php?s=/Home/PolicySearch/policydetail/id/112531</t>
  </si>
  <si>
    <t>https://news.2500sz.com/doc/2026/03/04/1198627.shtml</t>
  </si>
  <si>
    <t>https://js.ifeng.com/c/8jFQyde1wYl</t>
  </si>
  <si>
    <t>https://www.szxc.gov.cn/szxcrmzf/tzgg/202607/e05caf3f4d594e4d8e449b4b691d8be2.shtml</t>
  </si>
  <si>
    <t>https://www.keceyun.com/policy/newsdetail/204362.html</t>
  </si>
  <si>
    <t>https://www.chuangxin360.com/guest/notice/noticeinfo_989b0dc4-edd3-4270-b879-596e098a7800/seo.html</t>
  </si>
  <si>
    <t>https://www.keceyun.com/policy/newsdetail/437004.html</t>
  </si>
  <si>
    <t>https://www.keceyun.com/policy/newsdetail/501256.html</t>
  </si>
  <si>
    <t>https://czju.suzhou.gov.cn/zfcg/html/project/67c4c8679230440dbd7b54b9b6db0729.shtml</t>
  </si>
  <si>
    <t>https://www.jssjw.gov.cn/art/2024/3/27/art_379_34553.html</t>
  </si>
  <si>
    <t>https://keceyun.com/policy/newsdetail/146062.html</t>
  </si>
  <si>
    <t>https://www.suzhou.gov.cn/szsrmzf/qxkx/202504/34ba18e767714b12953c2e1cc20f9770.shtml</t>
  </si>
  <si>
    <t>2025正式确定通知所列官方原文</t>
  </si>
  <si>
    <t>https://xcqfzx.szxc.gov.cn/xcservplat/Apps/servplat/index.php?s=/Notice/noticeDetail/id/4885/query_value1//orderway//i/3</t>
  </si>
  <si>
    <t>2025候选公示所列相城区政府原文</t>
  </si>
  <si>
    <t>http://www.szxc.gov.cn/szxcrmzf/c108862/202512/fbf78dcd0be6472db0de6edd99fc5d94.shtml</t>
  </si>
  <si>
    <t>2024综合实施意见所列官方原文</t>
  </si>
  <si>
    <t>https://xcqfzx.szxc.gov.cn/xcservplat/Apps/psp/index.php?s=/Home/PolicySearch/policydetail/id/112530</t>
  </si>
  <si>
    <t>项目类别 | 项目经费（万元） | 购房补贴上限（万元） | 顶尖人才（团队） | 1000—5000 | 创业类：领军200、核心成员100；创新类：领军100、核心成员50 | 重点创新团队 | 400 / 500 / 600 | 创业类：团队成员每人100；创新类：团队成员每人50 | 创业领军人才 | 100 / 200 / 300 | 人才100 | 创新领军人才 | 50 / 100 | 人才50</t>
  </si>
  <si>
    <t>B16</t>
  </si>
  <si>
    <t>资格维度 | 2026年第一批公告要求 | 学历与经历 | 本科及以上学位；3年以上研发、管理或自主创业经历，博士学位可折算3年工作经历。 | 技术与项目 | 掌握项目相关核心技术，拥有自主知识产权，技术成果达到国际先进或国内领先水平，产品有较好的市场前景及产业化潜力。 | 人才与企业期限 | 人才于2022年1月1日后来高新区；拟设企业或企业成立于2024年1月1日以后。2022年前已来区人才另适用“苏州首次创办企业、原则上全职创业”等要求。 | 负责人及股权 | 担任董事长、总经理或执行董事并已在工商信息系统备案；主要精力在高新区企业；本人股权一般≥20%，或为第一大自然人股东。 | 个人实缴现金 | 基本门槛100万元；立项200万元经费时，申报人实缴≥300万元；立项300万元时，申报人实缴≥500万元。 | 持股公司及持续要求 | 通过持股公司出资时，该公司在申报企业现金出资还须≥200万元；入选至考核验收结束，个人实际出资不得减少。</t>
  </si>
  <si>
    <t>团队类一般由不少于3名具有博士学位的成员组成，稳定合作3年以上，领军人才一般不超过65周岁。顶尖团队项目总投入不少于1亿元、目前投入不少于3000万元；重点创新团队总投入不少于3000万元、目前投入不少于500万元。创业团队可按公告以相应营收或融资指标满足目前投入的替代条件。团队人才层级、总部、注册资本、引进时点与特殊放宽条件须一并审核。[2：第二部分第1—2项]</t>
  </si>
  <si>
    <t>2026年第一批公告明确，领军人才须于立项后3年内在苏州高新区内购房，方可享受购房补贴。第二批公告转载保留同一要求。这一条限定购房资格时间，不是补贴分三年发放，也不是三年内保证全部到账。[2：第五部分第12项；3：第五部分第12项]</t>
  </si>
  <si>
    <t>核对项目 | 2026口径 | 购房地点与期限 | 高新区内；立项后3年内。具体购房日期认定凭证须对应兑现要求。 | 补贴上限 | 创业领军100万元；创新领军50万元；团队按类别及成员身份核定，见模块一。 | 首笔及尾款比例 | 现行办法及所核2026公告未列统一规定；不能移用其他区县的40%／30%／30%或50%／50%。 | 申领月份、发放批次、到账周期 | 未取得2026统一申领通知或完整兑现细则，无法可靠列为固定月份、固定年限。</t>
  </si>
  <si>
    <t>网上入口：苏州高新区领军人才申报平台</t>
  </si>
  <si>
    <t>https://web.sndkjj.com:8083/LJRC/</t>
  </si>
  <si>
    <t>苏商通：现行实施办法全文</t>
  </si>
  <si>
    <t>https://sst.suzhou.gov.cn/ndaservplat/Apps/psp/index.php?s=/Home/PolicySearch/policydetail/id/112709/query_value1//orderway//i/3</t>
  </si>
  <si>
    <t>苏商通：2026年第一批公告全文</t>
  </si>
  <si>
    <t>https://sst.suzhou.gov.cn/ndaservplat/Apps/sme/index.php?s=/Notice/noticeDetail/id/1204/query_value1/zone/orderway/hot/i/3/recordfrom/noticecenter</t>
  </si>
  <si>
    <t>实际核对的第二批公告全文转载</t>
  </si>
  <si>
    <t>https://www.sohu.com/a/1040285628_121106832</t>
  </si>
  <si>
    <t>苏州创业园：通知公告入口（查询上述标题）</t>
  </si>
  <si>
    <t>https://www.csibi.cn/cms/cms/front/newsCenter/toNewsList.action</t>
  </si>
  <si>
    <t>该通知关联微信公众号原链接</t>
  </si>
  <si>
    <t>https://mp.weixin.qq.com/s/Am9YI4M27f-8vsZ40dvEiw</t>
  </si>
  <si>
    <t>苏州市政府：2024年高新区统计公报及附件</t>
  </si>
  <si>
    <t>https://www.suzhou.gov.cn/szsrmzf/ndgmjjhshfztjsjfb/202508/b6f8454df56d4dea991bb11504d514ec.shtml</t>
  </si>
  <si>
    <t>中国开发区协会：来源高新区的公开信息</t>
  </si>
  <si>
    <t>https://www.cadz.org.cn/index.php/News/info/id/75856.html</t>
  </si>
  <si>
    <t>公示关联微信公众号原链接</t>
  </si>
  <si>
    <t>https://mp.weixin.qq.com/s/IgJVVIs8KwXDH-ONCXITsQ</t>
  </si>
  <si>
    <t>苏州市政府：2025年高新区统计公报及附件</t>
  </si>
  <si>
    <t>https://www.suzhou.gov.cn/szsrmzf/ndgmjjhshfztjsjfb/202607/d5d9e36c1e7940349b122adbb3923971.shtml</t>
  </si>
  <si>
    <t>市人社局：高新区人才服务体系介绍</t>
  </si>
  <si>
    <t>https://hrss.suzhou.gov.cn/jsszhrss/qxdt/202411/f5b70dfe454e41c59b02240c705a45e1.shtml</t>
  </si>
  <si>
    <t>苏州市政府：苏州英才卡及服务升级说明</t>
  </si>
  <si>
    <t>B3</t>
  </si>
  <si>
    <t>姑苏区科技领军人才计划设两大类：</t>
  </si>
  <si>
    <t>创新领军人才： | 重点支持到姑苏区科技型企业领衔科技创新工作、能促进企业转型升级和跨越发展的创新人才（团队）。</t>
  </si>
  <si>
    <t>资助项目 | 领军类 | 孵化类 | 创业扶持资金 | 最高100万元，根据项目进展情况分期拨付 | 最高50万元，根据项目进展情况分期拨付 | 办公用房补贴 | 不超过30万元 | 不超过30万元 | 住房补贴 | 在苏州市区（含吴江）购买自用住宅，最高100万元 | 同前，最高50万元 | 滚动扶持 | 项目发展情况优良的，最高200万元 | 项目发展情况优良的，最高200万元</t>
  </si>
  <si>
    <t>B20</t>
  </si>
  <si>
    <t>获评1年内达到兑现条件的，给予100万元产业化奖励。</t>
  </si>
  <si>
    <t>B22</t>
  </si>
  <si>
    <t>注：2021年实施办法设领军、成长、孵化三类，2025年度申报通知只列领军、孵化两类受理通道，成长类是否单独受理需向区经科局确认。</t>
  </si>
  <si>
    <t>住房补贴：最高50万元。</t>
  </si>
  <si>
    <t>注意：区级创新领军人才没有“项目资助”，只有住房补贴和给企业的引才补贴；市级创新领军人才另有100/200万元项目资助。</t>
  </si>
  <si>
    <t>追加奖励：对在姑苏区自主申报获评国家级重大人才引进工程、江苏省双创人才、姑苏领军人才等人才计划的创业类项目，给予最高200万元追加奖励；如项目未获评过姑苏区科技领军人才，可直接认定并享受相应追加奖励。</t>
  </si>
  <si>
    <t>2025 年度拟认定项目公示（含 20 项名单全文）</t>
  </si>
  <si>
    <t>https://www.chacewang.com/newsdetail/news906427.html</t>
  </si>
  <si>
    <t>科策云同源公示</t>
  </si>
  <si>
    <t>https://keceyun.com/policy/newsdetail/392992.html</t>
  </si>
  <si>
    <t>2025 年度申报通知</t>
  </si>
  <si>
    <t>http://qyfw.gusu.gov.cn/home/InformDetail?articleId=2faac1df-9d9b-473c-97ef-0dac06117d1d</t>
  </si>
  <si>
    <t>2023 年度第二批公示（502）</t>
  </si>
  <si>
    <t>http://qyfw.gusu.gov.cn/home/InformDetail?articleId=40539338-c8e6-4976-b1cd-54712f9046a3</t>
  </si>
  <si>
    <t>2024 年度第二批公示（502）</t>
  </si>
  <si>
    <t>http://qyfw.gusu.gov.cn/home/InformDetail?articleId=c5d41e71-ae1b-4a56-913d-1229e8ddc777</t>
  </si>
  <si>
    <t>区级办法（姑苏办〔2021〕56号）</t>
  </si>
  <si>
    <t>http://www.gusu.gov.cn/gsq/zfwj/202106/b0daab440801402fb89e7b473f5eac33.shtml</t>
  </si>
  <si>
    <t>姑苏人才礼遇通升级启用（区政府2024-07）</t>
  </si>
  <si>
    <t>http://www.gusu.gov.cn/gsq/zwyw/202407/fcaa244432fa415c9de436e9f4672e65.shtml</t>
  </si>
  <si>
    <t>高层次人才医疗健康专线开通（苏州日报）</t>
  </si>
  <si>
    <t>https://www.subaonet.com/2024/szms/0522/XkJOjLb1.html</t>
  </si>
  <si>
    <t>2025年度苏州市高层次人才租房补贴申报通知</t>
  </si>
  <si>
    <t>https://gwxy.suda.edu.cn/57/b2/c366a677810/page.htm</t>
  </si>
  <si>
    <t>人才乐居工程申报通知（分类与标准）</t>
  </si>
  <si>
    <t>https://rsc.suda.edu.cn/57/67/c286a612199/pagem.psp</t>
  </si>
  <si>
    <t>苏州"1+8"人才政策发布（苏州日报）</t>
  </si>
  <si>
    <t>https://www.subaonet.com/2024/xwzt/xsdxzwxpz/xzw/0711/7roglPQr.html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</si>
</sst>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Arial"/>
      <family val="2"/>
    </font>
    <font>
      <sz val="11"/>
      <name val="Calibri"/>
      <family val="2"/>
    </font>
    <font>
      <sz val="11"/>
      <color rgb="FF25344A"/>
      <name val="Droid Sans Fallback"/>
      <charset val="1"/>
    </font>
    <font>
      <b/>
      <sz val="16"/>
      <color rgb="FF203864"/>
      <name val="Droid Sans Fallback"/>
      <charset val="134"/>
    </font>
    <font>
      <sz val="10"/>
      <color rgb="FF64748B"/>
      <name val="Droid Sans Fallback"/>
      <charset val="134"/>
    </font>
    <font>
      <b/>
      <sz val="11"/>
      <color rgb="FFFFFFFF"/>
      <name val="Droid Sans Fallback"/>
      <charset val="134"/>
    </font>
    <font>
      <b/>
      <sz val="11"/>
      <color rgb="FF25344A"/>
      <name val="Droid Sans Fallback"/>
      <charset val="134"/>
    </font>
    <font>
      <b/>
      <sz val="10"/>
      <color rgb="FFFFFFFF"/>
      <name val="Droid Sans Fallback"/>
      <charset val="134"/>
    </font>
    <font>
      <sz val="11"/>
      <color rgb="FF356DB3"/>
      <name val="Droid Sans Fallback"/>
      <charset val="134"/>
    </font>
    <font>
      <sz val="9"/>
      <name val="宋体"/>
      <family val="3"/>
      <charset val="134"/>
    </font>
  </fonts>
  <fills count="5">
    <fill>
      <patternFill patternType="none"/>
    </fill>
    <fill>
      <patternFill patternType="gray125"/>
    </fill>
    <fill>
      <patternFill patternType="solid">
        <fgColor rgb="FF203864"/>
        <bgColor rgb="FF25344A"/>
      </patternFill>
    </fill>
    <fill>
      <patternFill patternType="solid">
        <fgColor rgb="FFF0F4F9"/>
        <bgColor rgb="FFE7EDF5"/>
      </patternFill>
    </fill>
    <fill>
      <patternFill patternType="solid">
        <fgColor rgb="FFE7EDF5"/>
        <bgColor rgb="FFF0F4F9"/>
      </patternFill>
    </fill>
  </fills>
  <borders count="1">
    <border>
      <left/>
      <right/>
      <top/>
      <bottom/>
      <diagonal/>
    </border>
  </borders>
  <cellStyleXfs count="2">
    <xf numFmtId="0" fontId="0" fillId="0" borderId="0"/>
    <xf numFmtId="0" fontId="1" fillId="0" borderId="0"/>
  </cellStyleXfs>
  <cellXfs count="20">
    <xf numFmtId="0" fontId="0" fillId="0" borderId="0" xfId="0"/>
    <xf numFmtId="0" fontId="2" fillId="0" borderId="0" xfId="1" applyFont="1" applyAlignment="1">
      <alignment vertical="center"/>
    </xf>
    <xf numFmtId="0" fontId="3" fillId="0" borderId="0" xfId="1" applyFont="1" applyAlignment="1">
      <alignment vertical="center"/>
    </xf>
    <xf numFmtId="0" fontId="4" fillId="0" borderId="0" xfId="1" applyFont="1" applyAlignment="1">
      <alignment vertical="center"/>
    </xf>
    <xf numFmtId="0" fontId="5" fillId="2" borderId="0" xfId="1" applyFont="1" applyFill="1" applyAlignment="1">
      <alignment horizontal="center" vertical="center" wrapText="1"/>
    </xf>
    <xf numFmtId="0" fontId="2" fillId="3" borderId="0" xfId="1" applyFont="1" applyFill="1" applyAlignment="1">
      <alignment vertical="top" wrapText="1"/>
    </xf>
    <xf numFmtId="0" fontId="2" fillId="0" borderId="0" xfId="1" applyFont="1" applyAlignment="1">
      <alignment vertical="top" wrapText="1"/>
    </xf>
    <xf numFmtId="0" fontId="6" fillId="0" borderId="0" xfId="1" applyFont="1" applyAlignment="1">
      <alignment vertical="center"/>
    </xf>
    <xf numFmtId="0" fontId="7" fillId="2" borderId="0" xfId="1" applyFont="1" applyFill="1" applyAlignment="1">
      <alignment vertical="center" wrapText="1"/>
    </xf>
    <xf numFmtId="0" fontId="2" fillId="4" borderId="0" xfId="1" applyFont="1" applyFill="1" applyAlignment="1">
      <alignment vertical="center"/>
    </xf>
    <xf numFmtId="3" fontId="2" fillId="0" borderId="0" xfId="1" applyNumberFormat="1" applyFont="1" applyAlignment="1">
      <alignment vertical="center"/>
    </xf>
    <xf numFmtId="0" fontId="5" fillId="2" borderId="0" xfId="1" applyFont="1" applyFill="1" applyAlignment="1">
      <alignment vertical="center" wrapText="1"/>
    </xf>
    <xf numFmtId="9" fontId="2" fillId="0" borderId="0" xfId="1" applyNumberFormat="1" applyFont="1" applyAlignment="1">
      <alignment vertical="center"/>
    </xf>
    <xf numFmtId="10" fontId="2" fillId="3" borderId="0" xfId="1" applyNumberFormat="1" applyFont="1" applyFill="1" applyAlignment="1">
      <alignment vertical="top" wrapText="1"/>
    </xf>
    <xf numFmtId="10" fontId="2" fillId="0" borderId="0" xfId="1" applyNumberFormat="1" applyFont="1" applyAlignment="1">
      <alignment vertical="top" wrapText="1"/>
    </xf>
    <xf numFmtId="10" fontId="2" fillId="0" borderId="0" xfId="1" applyNumberFormat="1" applyFont="1" applyAlignment="1">
      <alignment vertical="center"/>
    </xf>
    <xf numFmtId="3" fontId="8" fillId="3" borderId="0" xfId="1" applyNumberFormat="1" applyFont="1" applyFill="1" applyAlignment="1">
      <alignment vertical="top" wrapText="1"/>
    </xf>
    <xf numFmtId="3" fontId="2" fillId="3" borderId="0" xfId="1" applyNumberFormat="1" applyFont="1" applyFill="1" applyAlignment="1">
      <alignment vertical="top" wrapText="1"/>
    </xf>
    <xf numFmtId="3" fontId="8" fillId="0" borderId="0" xfId="1" applyNumberFormat="1" applyFont="1" applyAlignment="1">
      <alignment vertical="top" wrapText="1"/>
    </xf>
    <xf numFmtId="3" fontId="2" fillId="0" borderId="0" xfId="1" applyNumberFormat="1" applyFont="1" applyAlignment="1">
      <alignment vertical="top" wrapText="1"/>
    </xf>
  </cellXfs>
  <cellStyles count="2">
    <cellStyle name="Normal" xfId="1" xr:uid="{00000000-0005-0000-0000-000006000000}"/>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A35CA0"/>
      <rgbColor rgb="FFF0F4F9"/>
      <rgbColor rgb="FFE7ED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56DB3"/>
      <rgbColor rgb="FF46B1E1"/>
      <rgbColor rgb="FF99CC00"/>
      <rgbColor rgb="FFFFCC00"/>
      <rgbColor rgb="FFDF9B27"/>
      <rgbColor rgb="FFFF6600"/>
      <rgbColor rgb="FF64748B"/>
      <rgbColor rgb="FF969696"/>
      <rgbColor rgb="FF203864"/>
      <rgbColor rgb="FF15978D"/>
      <rgbColor rgb="FF003300"/>
      <rgbColor rgb="FF333300"/>
      <rgbColor rgb="FF993300"/>
      <rgbColor rgb="FF993366"/>
      <rgbColor rgb="FF333399"/>
      <rgbColor rgb="FF2534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0" u="none" strike="noStrike">
                <a:uFillTx/>
                <a:latin typeface="Arial"/>
              </a:defRPr>
            </a:pPr>
            <a:r>
              <a:rPr sz="1125" b="1" u="none" strike="noStrike">
                <a:solidFill>
                  <a:srgbClr val="000000"/>
                </a:solidFill>
                <a:uFillTx/>
                <a:latin typeface="Droid Sans Fallback"/>
              </a:rPr>
              <a:t>常规创业项目资助（万元）</a:t>
            </a:r>
          </a:p>
        </c:rich>
      </c:tx>
      <c:overlay val="0"/>
      <c:spPr>
        <a:noFill/>
        <a:ln w="0">
          <a:noFill/>
        </a:ln>
      </c:spPr>
    </c:title>
    <c:autoTitleDeleted val="0"/>
    <c:plotArea>
      <c:layout/>
      <c:barChart>
        <c:barDir val="col"/>
        <c:grouping val="clustered"/>
        <c:varyColors val="0"/>
        <c:ser>
          <c:idx val="0"/>
          <c:order val="0"/>
          <c:tx>
            <c:v>明确最低档</c:v>
          </c:tx>
          <c:spPr>
            <a:solidFill>
              <a:srgbClr val="15978D"/>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金额排序与图表!$A$28:$A$34</c:f>
              <c:strCache>
                <c:ptCount val="7"/>
                <c:pt idx="0">
                  <c:v>姑苏区</c:v>
                </c:pt>
                <c:pt idx="1">
                  <c:v>相城</c:v>
                </c:pt>
                <c:pt idx="2">
                  <c:v>吴中</c:v>
                </c:pt>
                <c:pt idx="3">
                  <c:v>园区</c:v>
                </c:pt>
                <c:pt idx="4">
                  <c:v>高新区</c:v>
                </c:pt>
                <c:pt idx="5">
                  <c:v>吴江</c:v>
                </c:pt>
                <c:pt idx="6">
                  <c:v>昆山</c:v>
                </c:pt>
              </c:strCache>
            </c:strRef>
          </c:cat>
          <c:val>
            <c:numRef>
              <c:f>金额排序与图表!$B$28:$B$34</c:f>
              <c:numCache>
                <c:formatCode>#,##0</c:formatCode>
                <c:ptCount val="7"/>
                <c:pt idx="0">
                  <c:v>0</c:v>
                </c:pt>
                <c:pt idx="1">
                  <c:v>50</c:v>
                </c:pt>
                <c:pt idx="2">
                  <c:v>100</c:v>
                </c:pt>
                <c:pt idx="3">
                  <c:v>100</c:v>
                </c:pt>
                <c:pt idx="4">
                  <c:v>100</c:v>
                </c:pt>
                <c:pt idx="5">
                  <c:v>100</c:v>
                </c:pt>
                <c:pt idx="6">
                  <c:v>100</c:v>
                </c:pt>
              </c:numCache>
            </c:numRef>
          </c:val>
          <c:extLst>
            <c:ext xmlns:c16="http://schemas.microsoft.com/office/drawing/2014/chart" uri="{C3380CC4-5D6E-409C-BE32-E72D297353CC}">
              <c16:uniqueId val="{00000000-CC17-4F3E-9F53-FA77FFB0B049}"/>
            </c:ext>
          </c:extLst>
        </c:ser>
        <c:ser>
          <c:idx val="1"/>
          <c:order val="1"/>
          <c:tx>
            <c:v>最高档</c:v>
          </c:tx>
          <c:spPr>
            <a:solidFill>
              <a:srgbClr val="356DB3"/>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金额排序与图表!$A$28:$A$34</c:f>
              <c:strCache>
                <c:ptCount val="7"/>
                <c:pt idx="0">
                  <c:v>姑苏区</c:v>
                </c:pt>
                <c:pt idx="1">
                  <c:v>相城</c:v>
                </c:pt>
                <c:pt idx="2">
                  <c:v>吴中</c:v>
                </c:pt>
                <c:pt idx="3">
                  <c:v>园区</c:v>
                </c:pt>
                <c:pt idx="4">
                  <c:v>高新区</c:v>
                </c:pt>
                <c:pt idx="5">
                  <c:v>吴江</c:v>
                </c:pt>
                <c:pt idx="6">
                  <c:v>昆山</c:v>
                </c:pt>
              </c:strCache>
            </c:strRef>
          </c:cat>
          <c:val>
            <c:numRef>
              <c:f>金额排序与图表!$C$28:$C$34</c:f>
              <c:numCache>
                <c:formatCode>#,##0</c:formatCode>
                <c:ptCount val="7"/>
                <c:pt idx="0">
                  <c:v>100</c:v>
                </c:pt>
                <c:pt idx="1">
                  <c:v>100</c:v>
                </c:pt>
                <c:pt idx="2">
                  <c:v>300</c:v>
                </c:pt>
                <c:pt idx="3">
                  <c:v>300</c:v>
                </c:pt>
                <c:pt idx="4">
                  <c:v>300</c:v>
                </c:pt>
                <c:pt idx="5">
                  <c:v>300</c:v>
                </c:pt>
                <c:pt idx="6">
                  <c:v>400</c:v>
                </c:pt>
              </c:numCache>
            </c:numRef>
          </c:val>
          <c:extLst>
            <c:ext xmlns:c16="http://schemas.microsoft.com/office/drawing/2014/chart" uri="{C3380CC4-5D6E-409C-BE32-E72D297353CC}">
              <c16:uniqueId val="{00000001-CC17-4F3E-9F53-FA77FFB0B049}"/>
            </c:ext>
          </c:extLst>
        </c:ser>
        <c:dLbls>
          <c:showLegendKey val="0"/>
          <c:showVal val="0"/>
          <c:showCatName val="0"/>
          <c:showSerName val="0"/>
          <c:showPercent val="0"/>
          <c:showBubbleSize val="0"/>
        </c:dLbls>
        <c:gapWidth val="150"/>
        <c:axId val="62184609"/>
        <c:axId val="70803105"/>
      </c:barChart>
      <c:catAx>
        <c:axId val="62184609"/>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70803105"/>
        <c:crosses val="autoZero"/>
        <c:auto val="1"/>
        <c:lblAlgn val="ctr"/>
        <c:lblOffset val="100"/>
        <c:noMultiLvlLbl val="0"/>
      </c:catAx>
      <c:valAx>
        <c:axId val="70803105"/>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62184609"/>
        <c:crosses val="autoZero"/>
        <c:crossBetween val="between"/>
      </c:valAx>
      <c:spPr>
        <a:ln w="0">
          <a:noFill/>
        </a:ln>
      </c:spPr>
    </c:plotArea>
    <c:legend>
      <c:legendPos val="t"/>
      <c:overlay val="0"/>
      <c:spPr>
        <a:noFill/>
        <a:ln w="0">
          <a:noFill/>
        </a:ln>
      </c:spPr>
      <c:txPr>
        <a:bodyPr/>
        <a:lstStyle/>
        <a:p>
          <a:pPr>
            <a:defRPr sz="900" b="0" u="none" strike="noStrike">
              <a:solidFill>
                <a:srgbClr val="000000"/>
              </a:solidFill>
              <a:uFillTx/>
              <a:latin typeface="Droid Sans Fallback"/>
            </a:defRPr>
          </a:pPr>
          <a:endParaRPr lang="zh-CN"/>
        </a:p>
      </c:txPr>
    </c:legend>
    <c:plotVisOnly val="1"/>
    <c:dispBlanksAs val="zero"/>
    <c:showDLblsOverMax val="1"/>
  </c:chart>
  <c:spPr>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0" u="none" strike="noStrike">
                <a:uFillTx/>
                <a:latin typeface="Arial"/>
              </a:defRPr>
            </a:pPr>
            <a:r>
              <a:rPr sz="1125" b="1" u="none" strike="noStrike">
                <a:solidFill>
                  <a:srgbClr val="000000"/>
                </a:solidFill>
                <a:uFillTx/>
                <a:latin typeface="Droid Sans Fallback"/>
              </a:rPr>
              <a:t>个人创新项目资助（万元）</a:t>
            </a:r>
          </a:p>
        </c:rich>
      </c:tx>
      <c:overlay val="0"/>
      <c:spPr>
        <a:noFill/>
        <a:ln w="0">
          <a:noFill/>
        </a:ln>
      </c:spPr>
    </c:title>
    <c:autoTitleDeleted val="0"/>
    <c:plotArea>
      <c:layout/>
      <c:barChart>
        <c:barDir val="col"/>
        <c:grouping val="clustered"/>
        <c:varyColors val="0"/>
        <c:ser>
          <c:idx val="0"/>
          <c:order val="0"/>
          <c:tx>
            <c:v>明确最低档</c:v>
          </c:tx>
          <c:spPr>
            <a:solidFill>
              <a:srgbClr val="15978D"/>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金额排序与图表!$A$63:$A$68</c:f>
              <c:strCache>
                <c:ptCount val="6"/>
                <c:pt idx="0">
                  <c:v>姑苏区</c:v>
                </c:pt>
                <c:pt idx="1">
                  <c:v>吴中</c:v>
                </c:pt>
                <c:pt idx="2">
                  <c:v>高新区</c:v>
                </c:pt>
                <c:pt idx="3">
                  <c:v>相城</c:v>
                </c:pt>
                <c:pt idx="4">
                  <c:v>吴江</c:v>
                </c:pt>
                <c:pt idx="5">
                  <c:v>昆山</c:v>
                </c:pt>
              </c:strCache>
            </c:strRef>
          </c:cat>
          <c:val>
            <c:numRef>
              <c:f>金额排序与图表!$B$63:$B$68</c:f>
              <c:numCache>
                <c:formatCode>#,##0</c:formatCode>
                <c:ptCount val="6"/>
                <c:pt idx="0">
                  <c:v>0</c:v>
                </c:pt>
                <c:pt idx="1">
                  <c:v>50</c:v>
                </c:pt>
                <c:pt idx="2">
                  <c:v>50</c:v>
                </c:pt>
                <c:pt idx="3">
                  <c:v>50</c:v>
                </c:pt>
                <c:pt idx="4">
                  <c:v>50</c:v>
                </c:pt>
                <c:pt idx="5">
                  <c:v>100</c:v>
                </c:pt>
              </c:numCache>
            </c:numRef>
          </c:val>
          <c:extLst>
            <c:ext xmlns:c16="http://schemas.microsoft.com/office/drawing/2014/chart" uri="{C3380CC4-5D6E-409C-BE32-E72D297353CC}">
              <c16:uniqueId val="{00000000-3F27-47F9-8A6E-EFA02D238D81}"/>
            </c:ext>
          </c:extLst>
        </c:ser>
        <c:ser>
          <c:idx val="1"/>
          <c:order val="1"/>
          <c:tx>
            <c:v>最高档</c:v>
          </c:tx>
          <c:spPr>
            <a:solidFill>
              <a:srgbClr val="356DB3"/>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金额排序与图表!$A$63:$A$68</c:f>
              <c:strCache>
                <c:ptCount val="6"/>
                <c:pt idx="0">
                  <c:v>姑苏区</c:v>
                </c:pt>
                <c:pt idx="1">
                  <c:v>吴中</c:v>
                </c:pt>
                <c:pt idx="2">
                  <c:v>高新区</c:v>
                </c:pt>
                <c:pt idx="3">
                  <c:v>相城</c:v>
                </c:pt>
                <c:pt idx="4">
                  <c:v>吴江</c:v>
                </c:pt>
                <c:pt idx="5">
                  <c:v>昆山</c:v>
                </c:pt>
              </c:strCache>
            </c:strRef>
          </c:cat>
          <c:val>
            <c:numRef>
              <c:f>金额排序与图表!$C$63:$C$68</c:f>
              <c:numCache>
                <c:formatCode>#,##0</c:formatCode>
                <c:ptCount val="6"/>
                <c:pt idx="0">
                  <c:v>0</c:v>
                </c:pt>
                <c:pt idx="1">
                  <c:v>100</c:v>
                </c:pt>
                <c:pt idx="2">
                  <c:v>100</c:v>
                </c:pt>
                <c:pt idx="3">
                  <c:v>100</c:v>
                </c:pt>
                <c:pt idx="4">
                  <c:v>150</c:v>
                </c:pt>
                <c:pt idx="5">
                  <c:v>200</c:v>
                </c:pt>
              </c:numCache>
            </c:numRef>
          </c:val>
          <c:extLst>
            <c:ext xmlns:c16="http://schemas.microsoft.com/office/drawing/2014/chart" uri="{C3380CC4-5D6E-409C-BE32-E72D297353CC}">
              <c16:uniqueId val="{00000001-3F27-47F9-8A6E-EFA02D238D81}"/>
            </c:ext>
          </c:extLst>
        </c:ser>
        <c:dLbls>
          <c:showLegendKey val="0"/>
          <c:showVal val="0"/>
          <c:showCatName val="0"/>
          <c:showSerName val="0"/>
          <c:showPercent val="0"/>
          <c:showBubbleSize val="0"/>
        </c:dLbls>
        <c:gapWidth val="150"/>
        <c:axId val="18238370"/>
        <c:axId val="86435858"/>
      </c:barChart>
      <c:catAx>
        <c:axId val="18238370"/>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86435858"/>
        <c:crosses val="autoZero"/>
        <c:auto val="1"/>
        <c:lblAlgn val="ctr"/>
        <c:lblOffset val="100"/>
        <c:noMultiLvlLbl val="0"/>
      </c:catAx>
      <c:valAx>
        <c:axId val="86435858"/>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18238370"/>
        <c:crosses val="autoZero"/>
        <c:crossBetween val="between"/>
      </c:valAx>
      <c:spPr>
        <a:ln w="0">
          <a:noFill/>
        </a:ln>
      </c:spPr>
    </c:plotArea>
    <c:legend>
      <c:legendPos val="t"/>
      <c:overlay val="0"/>
      <c:spPr>
        <a:noFill/>
        <a:ln w="0">
          <a:noFill/>
        </a:ln>
      </c:spPr>
      <c:txPr>
        <a:bodyPr/>
        <a:lstStyle/>
        <a:p>
          <a:pPr>
            <a:defRPr sz="900" b="0" u="none" strike="noStrike">
              <a:solidFill>
                <a:srgbClr val="000000"/>
              </a:solidFill>
              <a:uFillTx/>
              <a:latin typeface="Droid Sans Fallback"/>
            </a:defRPr>
          </a:pPr>
          <a:endParaRPr lang="zh-CN"/>
        </a:p>
      </c:txPr>
    </c:legend>
    <c:plotVisOnly val="1"/>
    <c:dispBlanksAs val="zero"/>
    <c:showDLblsOverMax val="1"/>
  </c:chart>
  <c:spPr>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0" u="none" strike="noStrike">
                <a:uFillTx/>
                <a:latin typeface="Arial"/>
              </a:defRPr>
            </a:pPr>
            <a:r>
              <a:rPr sz="1125" b="1" u="none" strike="noStrike">
                <a:solidFill>
                  <a:srgbClr val="000000"/>
                </a:solidFill>
                <a:uFillTx/>
                <a:latin typeface="Droid Sans Fallback"/>
              </a:rPr>
              <a:t>常规团队项目资助（万元）</a:t>
            </a:r>
          </a:p>
        </c:rich>
      </c:tx>
      <c:overlay val="0"/>
      <c:spPr>
        <a:noFill/>
        <a:ln w="0">
          <a:noFill/>
        </a:ln>
      </c:spPr>
    </c:title>
    <c:autoTitleDeleted val="0"/>
    <c:plotArea>
      <c:layout/>
      <c:barChart>
        <c:barDir val="col"/>
        <c:grouping val="clustered"/>
        <c:varyColors val="0"/>
        <c:ser>
          <c:idx val="0"/>
          <c:order val="0"/>
          <c:tx>
            <c:v>明确最低档</c:v>
          </c:tx>
          <c:spPr>
            <a:solidFill>
              <a:srgbClr val="15978D"/>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金额排序与图表!$A$98:$A$102</c:f>
              <c:strCache>
                <c:ptCount val="5"/>
                <c:pt idx="0">
                  <c:v>高新区</c:v>
                </c:pt>
                <c:pt idx="1">
                  <c:v>相城</c:v>
                </c:pt>
                <c:pt idx="2">
                  <c:v>吴中</c:v>
                </c:pt>
                <c:pt idx="3">
                  <c:v>昆山</c:v>
                </c:pt>
                <c:pt idx="4">
                  <c:v>吴江</c:v>
                </c:pt>
              </c:strCache>
            </c:strRef>
          </c:cat>
          <c:val>
            <c:numRef>
              <c:f>金额排序与图表!$B$98:$B$102</c:f>
              <c:numCache>
                <c:formatCode>#,##0</c:formatCode>
                <c:ptCount val="5"/>
                <c:pt idx="0">
                  <c:v>400</c:v>
                </c:pt>
                <c:pt idx="1">
                  <c:v>400</c:v>
                </c:pt>
                <c:pt idx="2">
                  <c:v>300</c:v>
                </c:pt>
                <c:pt idx="3">
                  <c:v>400</c:v>
                </c:pt>
                <c:pt idx="4">
                  <c:v>300</c:v>
                </c:pt>
              </c:numCache>
            </c:numRef>
          </c:val>
          <c:extLst>
            <c:ext xmlns:c16="http://schemas.microsoft.com/office/drawing/2014/chart" uri="{C3380CC4-5D6E-409C-BE32-E72D297353CC}">
              <c16:uniqueId val="{00000000-9C41-4874-B3A3-017166ED956F}"/>
            </c:ext>
          </c:extLst>
        </c:ser>
        <c:ser>
          <c:idx val="1"/>
          <c:order val="1"/>
          <c:tx>
            <c:v>最高档</c:v>
          </c:tx>
          <c:spPr>
            <a:solidFill>
              <a:srgbClr val="356DB3"/>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金额排序与图表!$A$98:$A$102</c:f>
              <c:strCache>
                <c:ptCount val="5"/>
                <c:pt idx="0">
                  <c:v>高新区</c:v>
                </c:pt>
                <c:pt idx="1">
                  <c:v>相城</c:v>
                </c:pt>
                <c:pt idx="2">
                  <c:v>吴中</c:v>
                </c:pt>
                <c:pt idx="3">
                  <c:v>昆山</c:v>
                </c:pt>
                <c:pt idx="4">
                  <c:v>吴江</c:v>
                </c:pt>
              </c:strCache>
            </c:strRef>
          </c:cat>
          <c:val>
            <c:numRef>
              <c:f>金额排序与图表!$C$98:$C$102</c:f>
              <c:numCache>
                <c:formatCode>#,##0</c:formatCode>
                <c:ptCount val="5"/>
                <c:pt idx="0">
                  <c:v>600</c:v>
                </c:pt>
                <c:pt idx="1">
                  <c:v>800</c:v>
                </c:pt>
                <c:pt idx="2">
                  <c:v>1000</c:v>
                </c:pt>
                <c:pt idx="3">
                  <c:v>1000</c:v>
                </c:pt>
                <c:pt idx="4">
                  <c:v>1000</c:v>
                </c:pt>
              </c:numCache>
            </c:numRef>
          </c:val>
          <c:extLst>
            <c:ext xmlns:c16="http://schemas.microsoft.com/office/drawing/2014/chart" uri="{C3380CC4-5D6E-409C-BE32-E72D297353CC}">
              <c16:uniqueId val="{00000001-9C41-4874-B3A3-017166ED956F}"/>
            </c:ext>
          </c:extLst>
        </c:ser>
        <c:dLbls>
          <c:showLegendKey val="0"/>
          <c:showVal val="0"/>
          <c:showCatName val="0"/>
          <c:showSerName val="0"/>
          <c:showPercent val="0"/>
          <c:showBubbleSize val="0"/>
        </c:dLbls>
        <c:gapWidth val="150"/>
        <c:axId val="68746308"/>
        <c:axId val="71309052"/>
      </c:barChart>
      <c:catAx>
        <c:axId val="68746308"/>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71309052"/>
        <c:crosses val="autoZero"/>
        <c:auto val="1"/>
        <c:lblAlgn val="ctr"/>
        <c:lblOffset val="100"/>
        <c:noMultiLvlLbl val="0"/>
      </c:catAx>
      <c:valAx>
        <c:axId val="71309052"/>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68746308"/>
        <c:crosses val="autoZero"/>
        <c:crossBetween val="between"/>
      </c:valAx>
      <c:spPr>
        <a:ln w="0">
          <a:noFill/>
        </a:ln>
      </c:spPr>
    </c:plotArea>
    <c:legend>
      <c:legendPos val="t"/>
      <c:overlay val="0"/>
      <c:spPr>
        <a:noFill/>
        <a:ln w="0">
          <a:noFill/>
        </a:ln>
      </c:spPr>
      <c:txPr>
        <a:bodyPr/>
        <a:lstStyle/>
        <a:p>
          <a:pPr>
            <a:defRPr sz="900" b="0" u="none" strike="noStrike">
              <a:solidFill>
                <a:srgbClr val="000000"/>
              </a:solidFill>
              <a:uFillTx/>
              <a:latin typeface="Droid Sans Fallback"/>
            </a:defRPr>
          </a:pPr>
          <a:endParaRPr lang="zh-CN"/>
        </a:p>
      </c:txPr>
    </c:legend>
    <c:plotVisOnly val="1"/>
    <c:dispBlanksAs val="zero"/>
    <c:showDLblsOverMax val="1"/>
  </c:chart>
  <c:spPr>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0" u="none" strike="noStrike">
                <a:uFillTx/>
                <a:latin typeface="Arial"/>
              </a:defRPr>
            </a:pPr>
            <a:r>
              <a:rPr sz="1125" b="1" u="none" strike="noStrike">
                <a:solidFill>
                  <a:srgbClr val="000000"/>
                </a:solidFill>
                <a:uFillTx/>
                <a:latin typeface="Droid Sans Fallback"/>
              </a:rPr>
              <a:t>创业个人住房支持（万元）</a:t>
            </a:r>
          </a:p>
        </c:rich>
      </c:tx>
      <c:overlay val="0"/>
      <c:spPr>
        <a:noFill/>
        <a:ln w="0">
          <a:noFill/>
        </a:ln>
      </c:spPr>
    </c:title>
    <c:autoTitleDeleted val="0"/>
    <c:plotArea>
      <c:layout/>
      <c:barChart>
        <c:barDir val="col"/>
        <c:grouping val="clustered"/>
        <c:varyColors val="0"/>
        <c:ser>
          <c:idx val="0"/>
          <c:order val="0"/>
          <c:tx>
            <c:v>明确最低档</c:v>
          </c:tx>
          <c:spPr>
            <a:solidFill>
              <a:srgbClr val="15978D"/>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金额排序与图表!$A$133:$A$138</c:f>
              <c:strCache>
                <c:ptCount val="6"/>
                <c:pt idx="0">
                  <c:v>昆山</c:v>
                </c:pt>
                <c:pt idx="1">
                  <c:v>姑苏区</c:v>
                </c:pt>
                <c:pt idx="2">
                  <c:v>高新区</c:v>
                </c:pt>
                <c:pt idx="3">
                  <c:v>相城</c:v>
                </c:pt>
                <c:pt idx="4">
                  <c:v>园区</c:v>
                </c:pt>
                <c:pt idx="5">
                  <c:v>吴江</c:v>
                </c:pt>
              </c:strCache>
            </c:strRef>
          </c:cat>
          <c:val>
            <c:numRef>
              <c:f>金额排序与图表!$B$133:$B$138</c:f>
              <c:numCache>
                <c:formatCode>#,##0</c:formatCode>
                <c:ptCount val="6"/>
                <c:pt idx="0">
                  <c:v>0</c:v>
                </c:pt>
                <c:pt idx="1">
                  <c:v>0</c:v>
                </c:pt>
                <c:pt idx="2">
                  <c:v>0</c:v>
                </c:pt>
                <c:pt idx="3">
                  <c:v>0</c:v>
                </c:pt>
                <c:pt idx="4">
                  <c:v>100</c:v>
                </c:pt>
                <c:pt idx="5">
                  <c:v>50</c:v>
                </c:pt>
              </c:numCache>
            </c:numRef>
          </c:val>
          <c:extLst>
            <c:ext xmlns:c16="http://schemas.microsoft.com/office/drawing/2014/chart" uri="{C3380CC4-5D6E-409C-BE32-E72D297353CC}">
              <c16:uniqueId val="{00000000-5251-4027-810A-C74AE8102C4F}"/>
            </c:ext>
          </c:extLst>
        </c:ser>
        <c:ser>
          <c:idx val="1"/>
          <c:order val="1"/>
          <c:tx>
            <c:v>最高档</c:v>
          </c:tx>
          <c:spPr>
            <a:solidFill>
              <a:srgbClr val="356DB3"/>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金额排序与图表!$A$133:$A$138</c:f>
              <c:strCache>
                <c:ptCount val="6"/>
                <c:pt idx="0">
                  <c:v>昆山</c:v>
                </c:pt>
                <c:pt idx="1">
                  <c:v>姑苏区</c:v>
                </c:pt>
                <c:pt idx="2">
                  <c:v>高新区</c:v>
                </c:pt>
                <c:pt idx="3">
                  <c:v>相城</c:v>
                </c:pt>
                <c:pt idx="4">
                  <c:v>园区</c:v>
                </c:pt>
                <c:pt idx="5">
                  <c:v>吴江</c:v>
                </c:pt>
              </c:strCache>
            </c:strRef>
          </c:cat>
          <c:val>
            <c:numRef>
              <c:f>金额排序与图表!$C$133:$C$138</c:f>
              <c:numCache>
                <c:formatCode>#,##0</c:formatCode>
                <c:ptCount val="6"/>
                <c:pt idx="0">
                  <c:v>60</c:v>
                </c:pt>
                <c:pt idx="1">
                  <c:v>100</c:v>
                </c:pt>
                <c:pt idx="2">
                  <c:v>100</c:v>
                </c:pt>
                <c:pt idx="3">
                  <c:v>100</c:v>
                </c:pt>
                <c:pt idx="4">
                  <c:v>150</c:v>
                </c:pt>
                <c:pt idx="5">
                  <c:v>150</c:v>
                </c:pt>
              </c:numCache>
            </c:numRef>
          </c:val>
          <c:extLst>
            <c:ext xmlns:c16="http://schemas.microsoft.com/office/drawing/2014/chart" uri="{C3380CC4-5D6E-409C-BE32-E72D297353CC}">
              <c16:uniqueId val="{00000001-5251-4027-810A-C74AE8102C4F}"/>
            </c:ext>
          </c:extLst>
        </c:ser>
        <c:dLbls>
          <c:showLegendKey val="0"/>
          <c:showVal val="0"/>
          <c:showCatName val="0"/>
          <c:showSerName val="0"/>
          <c:showPercent val="0"/>
          <c:showBubbleSize val="0"/>
        </c:dLbls>
        <c:gapWidth val="150"/>
        <c:axId val="18319353"/>
        <c:axId val="3688107"/>
      </c:barChart>
      <c:catAx>
        <c:axId val="1831935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3688107"/>
        <c:crosses val="autoZero"/>
        <c:auto val="1"/>
        <c:lblAlgn val="ctr"/>
        <c:lblOffset val="100"/>
        <c:noMultiLvlLbl val="0"/>
      </c:catAx>
      <c:valAx>
        <c:axId val="3688107"/>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18319353"/>
        <c:crosses val="autoZero"/>
        <c:crossBetween val="between"/>
      </c:valAx>
      <c:spPr>
        <a:ln w="0">
          <a:noFill/>
        </a:ln>
      </c:spPr>
    </c:plotArea>
    <c:legend>
      <c:legendPos val="t"/>
      <c:overlay val="0"/>
      <c:spPr>
        <a:noFill/>
        <a:ln w="0">
          <a:noFill/>
        </a:ln>
      </c:spPr>
      <c:txPr>
        <a:bodyPr/>
        <a:lstStyle/>
        <a:p>
          <a:pPr>
            <a:defRPr sz="900" b="0" u="none" strike="noStrike">
              <a:solidFill>
                <a:srgbClr val="000000"/>
              </a:solidFill>
              <a:uFillTx/>
              <a:latin typeface="Droid Sans Fallback"/>
            </a:defRPr>
          </a:pPr>
          <a:endParaRPr lang="zh-CN"/>
        </a:p>
      </c:txPr>
    </c:legend>
    <c:plotVisOnly val="1"/>
    <c:dispBlanksAs val="zero"/>
    <c:showDLblsOverMax val="1"/>
  </c:chart>
  <c:spPr>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0" u="none" strike="noStrike">
                <a:uFillTx/>
                <a:latin typeface="Arial"/>
              </a:defRPr>
            </a:pPr>
            <a:r>
              <a:rPr sz="1125" b="1" u="none" strike="noStrike">
                <a:solidFill>
                  <a:srgbClr val="000000"/>
                </a:solidFill>
                <a:uFillTx/>
                <a:latin typeface="Droid Sans Fallback"/>
              </a:rPr>
              <a:t>东吴累计可拨金额（万元）</a:t>
            </a:r>
          </a:p>
        </c:rich>
      </c:tx>
      <c:overlay val="0"/>
      <c:spPr>
        <a:noFill/>
        <a:ln w="0">
          <a:noFill/>
        </a:ln>
      </c:spPr>
    </c:title>
    <c:autoTitleDeleted val="0"/>
    <c:plotArea>
      <c:layout/>
      <c:lineChart>
        <c:grouping val="standard"/>
        <c:varyColors val="0"/>
        <c:ser>
          <c:idx val="0"/>
          <c:order val="0"/>
          <c:tx>
            <c:v>100万档累计</c:v>
          </c:tx>
          <c:spPr>
            <a:ln w="19080">
              <a:solidFill>
                <a:srgbClr val="15978D"/>
              </a:solidFill>
              <a:round/>
            </a:ln>
          </c:spPr>
          <c:marker>
            <c:symbol val="none"/>
          </c:marker>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兑现与现金流!$A$21:$A$23</c:f>
              <c:strCache>
                <c:ptCount val="3"/>
                <c:pt idx="0">
                  <c:v>立项签约</c:v>
                </c:pt>
                <c:pt idx="1">
                  <c:v>中期通过</c:v>
                </c:pt>
                <c:pt idx="2">
                  <c:v>验收通过</c:v>
                </c:pt>
              </c:strCache>
            </c:strRef>
          </c:cat>
          <c:val>
            <c:numRef>
              <c:f>兑现与现金流!$D$21:$D$23</c:f>
              <c:numCache>
                <c:formatCode>#,##0</c:formatCode>
                <c:ptCount val="3"/>
                <c:pt idx="0">
                  <c:v>50</c:v>
                </c:pt>
                <c:pt idx="1">
                  <c:v>80</c:v>
                </c:pt>
                <c:pt idx="2">
                  <c:v>100</c:v>
                </c:pt>
              </c:numCache>
            </c:numRef>
          </c:val>
          <c:smooth val="0"/>
          <c:extLst>
            <c:ext xmlns:c16="http://schemas.microsoft.com/office/drawing/2014/chart" uri="{C3380CC4-5D6E-409C-BE32-E72D297353CC}">
              <c16:uniqueId val="{00000000-2C72-4D52-B349-0770A85AABF8}"/>
            </c:ext>
          </c:extLst>
        </c:ser>
        <c:ser>
          <c:idx val="1"/>
          <c:order val="1"/>
          <c:tx>
            <c:v>300万档累计</c:v>
          </c:tx>
          <c:spPr>
            <a:ln w="19080">
              <a:solidFill>
                <a:srgbClr val="356DB3"/>
              </a:solidFill>
              <a:round/>
            </a:ln>
          </c:spPr>
          <c:marker>
            <c:symbol val="none"/>
          </c:marker>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兑现与现金流!$A$21:$A$23</c:f>
              <c:strCache>
                <c:ptCount val="3"/>
                <c:pt idx="0">
                  <c:v>立项签约</c:v>
                </c:pt>
                <c:pt idx="1">
                  <c:v>中期通过</c:v>
                </c:pt>
                <c:pt idx="2">
                  <c:v>验收通过</c:v>
                </c:pt>
              </c:strCache>
            </c:strRef>
          </c:cat>
          <c:val>
            <c:numRef>
              <c:f>兑现与现金流!$E$21:$E$23</c:f>
              <c:numCache>
                <c:formatCode>#,##0</c:formatCode>
                <c:ptCount val="3"/>
                <c:pt idx="0">
                  <c:v>150</c:v>
                </c:pt>
                <c:pt idx="1">
                  <c:v>240</c:v>
                </c:pt>
                <c:pt idx="2">
                  <c:v>300</c:v>
                </c:pt>
              </c:numCache>
            </c:numRef>
          </c:val>
          <c:smooth val="0"/>
          <c:extLst>
            <c:ext xmlns:c16="http://schemas.microsoft.com/office/drawing/2014/chart" uri="{C3380CC4-5D6E-409C-BE32-E72D297353CC}">
              <c16:uniqueId val="{00000001-2C72-4D52-B349-0770A85AABF8}"/>
            </c:ext>
          </c:extLst>
        </c:ser>
        <c:dLbls>
          <c:showLegendKey val="0"/>
          <c:showVal val="0"/>
          <c:showCatName val="0"/>
          <c:showSerName val="0"/>
          <c:showPercent val="0"/>
          <c:showBubbleSize val="0"/>
        </c:dLbls>
        <c:hiLowLines>
          <c:spPr>
            <a:ln w="0">
              <a:noFill/>
            </a:ln>
          </c:spPr>
        </c:hiLowLines>
        <c:smooth val="0"/>
        <c:axId val="88691593"/>
        <c:axId val="85528900"/>
      </c:lineChart>
      <c:catAx>
        <c:axId val="8869159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85528900"/>
        <c:crosses val="autoZero"/>
        <c:auto val="1"/>
        <c:lblAlgn val="ctr"/>
        <c:lblOffset val="100"/>
        <c:noMultiLvlLbl val="0"/>
      </c:catAx>
      <c:valAx>
        <c:axId val="85528900"/>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88691593"/>
        <c:crosses val="autoZero"/>
        <c:crossBetween val="between"/>
      </c:valAx>
      <c:spPr>
        <a:ln w="0">
          <a:noFill/>
        </a:ln>
      </c:spPr>
    </c:plotArea>
    <c:legend>
      <c:legendPos val="t"/>
      <c:overlay val="0"/>
      <c:spPr>
        <a:noFill/>
        <a:ln w="0">
          <a:noFill/>
        </a:ln>
      </c:spPr>
      <c:txPr>
        <a:bodyPr/>
        <a:lstStyle/>
        <a:p>
          <a:pPr>
            <a:defRPr sz="900" b="0" u="none" strike="noStrike">
              <a:solidFill>
                <a:srgbClr val="000000"/>
              </a:solidFill>
              <a:uFillTx/>
              <a:latin typeface="Droid Sans Fallback"/>
            </a:defRPr>
          </a:pPr>
          <a:endParaRPr lang="zh-CN"/>
        </a:p>
      </c:txPr>
    </c:legend>
    <c:plotVisOnly val="1"/>
    <c:dispBlanksAs val="zero"/>
    <c:showDLblsOverMax val="1"/>
  </c:chart>
  <c:spPr>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0" u="none" strike="noStrike">
                <a:uFillTx/>
                <a:latin typeface="Arial"/>
              </a:defRPr>
            </a:pPr>
            <a:r>
              <a:rPr sz="1125" b="1" u="none" strike="noStrike">
                <a:solidFill>
                  <a:srgbClr val="000000"/>
                </a:solidFill>
                <a:uFillTx/>
                <a:latin typeface="Droid Sans Fallback"/>
              </a:rPr>
              <a:t>四地相对额度（各维度最高=100%）</a:t>
            </a:r>
          </a:p>
        </c:rich>
      </c:tx>
      <c:overlay val="0"/>
      <c:spPr>
        <a:noFill/>
        <a:ln w="0">
          <a:noFill/>
        </a:ln>
      </c:spPr>
    </c:title>
    <c:autoTitleDeleted val="0"/>
    <c:plotArea>
      <c:layout/>
      <c:radarChart>
        <c:radarStyle val="marker"/>
        <c:varyColors val="0"/>
        <c:ser>
          <c:idx val="0"/>
          <c:order val="0"/>
          <c:tx>
            <c:v>昆山</c:v>
          </c:tx>
          <c:spPr>
            <a:ln w="19080">
              <a:solidFill>
                <a:srgbClr val="356DB3"/>
              </a:solidFill>
              <a:round/>
            </a:ln>
          </c:spPr>
          <c:dLbls>
            <c:spPr>
              <a:noFill/>
              <a:ln>
                <a:noFill/>
              </a:ln>
              <a:effectLst/>
            </c:spPr>
            <c:txPr>
              <a:bodyPr wrap="square"/>
              <a:lstStyle/>
              <a:p>
                <a:pPr>
                  <a:defRPr sz="1000" b="0" u="none" strike="noStrike">
                    <a:solidFill>
                      <a:srgbClr val="000000"/>
                    </a:solidFill>
                    <a:uFillTx/>
                    <a:latin typeface="Calibri"/>
                    <a:ea typeface="Calibri"/>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配套与住房!$A$28:$A$31</c:f>
              <c:strCache>
                <c:ptCount val="4"/>
                <c:pt idx="0">
                  <c:v>创业经费</c:v>
                </c:pt>
                <c:pt idx="1">
                  <c:v>企业创新经费</c:v>
                </c:pt>
                <c:pt idx="2">
                  <c:v>常规团队经费</c:v>
                </c:pt>
                <c:pt idx="3">
                  <c:v>创业住房</c:v>
                </c:pt>
              </c:strCache>
            </c:strRef>
          </c:cat>
          <c:val>
            <c:numRef>
              <c:f>配套与住房!$B$28:$B$31</c:f>
              <c:numCache>
                <c:formatCode>0%</c:formatCode>
                <c:ptCount val="4"/>
                <c:pt idx="0">
                  <c:v>1</c:v>
                </c:pt>
                <c:pt idx="1">
                  <c:v>1</c:v>
                </c:pt>
                <c:pt idx="2">
                  <c:v>1</c:v>
                </c:pt>
                <c:pt idx="3">
                  <c:v>0.4</c:v>
                </c:pt>
              </c:numCache>
            </c:numRef>
          </c:val>
          <c:extLst>
            <c:ext xmlns:c16="http://schemas.microsoft.com/office/drawing/2014/chart" uri="{C3380CC4-5D6E-409C-BE32-E72D297353CC}">
              <c16:uniqueId val="{00000000-2CB8-4CAC-89A2-294E94581E14}"/>
            </c:ext>
          </c:extLst>
        </c:ser>
        <c:ser>
          <c:idx val="1"/>
          <c:order val="1"/>
          <c:tx>
            <c:v>高新区</c:v>
          </c:tx>
          <c:spPr>
            <a:ln w="19080">
              <a:solidFill>
                <a:srgbClr val="15978D"/>
              </a:solidFill>
              <a:round/>
            </a:ln>
          </c:spPr>
          <c:dLbls>
            <c:spPr>
              <a:noFill/>
              <a:ln>
                <a:noFill/>
              </a:ln>
              <a:effectLst/>
            </c:spPr>
            <c:txPr>
              <a:bodyPr wrap="square"/>
              <a:lstStyle/>
              <a:p>
                <a:pPr>
                  <a:defRPr sz="1000" b="0" u="none" strike="noStrike">
                    <a:solidFill>
                      <a:srgbClr val="000000"/>
                    </a:solidFill>
                    <a:uFillTx/>
                    <a:latin typeface="Calibri"/>
                    <a:ea typeface="Calibri"/>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配套与住房!$A$28:$A$31</c:f>
              <c:strCache>
                <c:ptCount val="4"/>
                <c:pt idx="0">
                  <c:v>创业经费</c:v>
                </c:pt>
                <c:pt idx="1">
                  <c:v>企业创新经费</c:v>
                </c:pt>
                <c:pt idx="2">
                  <c:v>常规团队经费</c:v>
                </c:pt>
                <c:pt idx="3">
                  <c:v>创业住房</c:v>
                </c:pt>
              </c:strCache>
            </c:strRef>
          </c:cat>
          <c:val>
            <c:numRef>
              <c:f>配套与住房!$C$28:$C$31</c:f>
              <c:numCache>
                <c:formatCode>0%</c:formatCode>
                <c:ptCount val="4"/>
                <c:pt idx="0">
                  <c:v>0.75</c:v>
                </c:pt>
                <c:pt idx="1">
                  <c:v>0.5</c:v>
                </c:pt>
                <c:pt idx="2">
                  <c:v>0.6</c:v>
                </c:pt>
                <c:pt idx="3">
                  <c:v>0.66666666666666663</c:v>
                </c:pt>
              </c:numCache>
            </c:numRef>
          </c:val>
          <c:extLst>
            <c:ext xmlns:c16="http://schemas.microsoft.com/office/drawing/2014/chart" uri="{C3380CC4-5D6E-409C-BE32-E72D297353CC}">
              <c16:uniqueId val="{00000001-2CB8-4CAC-89A2-294E94581E14}"/>
            </c:ext>
          </c:extLst>
        </c:ser>
        <c:ser>
          <c:idx val="2"/>
          <c:order val="2"/>
          <c:tx>
            <c:v>吴江</c:v>
          </c:tx>
          <c:spPr>
            <a:ln w="19080">
              <a:solidFill>
                <a:srgbClr val="DF9B27"/>
              </a:solidFill>
              <a:round/>
            </a:ln>
          </c:spPr>
          <c:dLbls>
            <c:spPr>
              <a:noFill/>
              <a:ln>
                <a:noFill/>
              </a:ln>
              <a:effectLst/>
            </c:spPr>
            <c:txPr>
              <a:bodyPr wrap="square"/>
              <a:lstStyle/>
              <a:p>
                <a:pPr>
                  <a:defRPr sz="1000" b="0" u="none" strike="noStrike">
                    <a:solidFill>
                      <a:srgbClr val="000000"/>
                    </a:solidFill>
                    <a:uFillTx/>
                    <a:latin typeface="Calibri"/>
                    <a:ea typeface="Calibri"/>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配套与住房!$A$28:$A$31</c:f>
              <c:strCache>
                <c:ptCount val="4"/>
                <c:pt idx="0">
                  <c:v>创业经费</c:v>
                </c:pt>
                <c:pt idx="1">
                  <c:v>企业创新经费</c:v>
                </c:pt>
                <c:pt idx="2">
                  <c:v>常规团队经费</c:v>
                </c:pt>
                <c:pt idx="3">
                  <c:v>创业住房</c:v>
                </c:pt>
              </c:strCache>
            </c:strRef>
          </c:cat>
          <c:val>
            <c:numRef>
              <c:f>配套与住房!$D$28:$D$31</c:f>
              <c:numCache>
                <c:formatCode>0%</c:formatCode>
                <c:ptCount val="4"/>
                <c:pt idx="0">
                  <c:v>0.75</c:v>
                </c:pt>
                <c:pt idx="1">
                  <c:v>0.75</c:v>
                </c:pt>
                <c:pt idx="2">
                  <c:v>1</c:v>
                </c:pt>
                <c:pt idx="3">
                  <c:v>1</c:v>
                </c:pt>
              </c:numCache>
            </c:numRef>
          </c:val>
          <c:extLst>
            <c:ext xmlns:c16="http://schemas.microsoft.com/office/drawing/2014/chart" uri="{C3380CC4-5D6E-409C-BE32-E72D297353CC}">
              <c16:uniqueId val="{00000002-2CB8-4CAC-89A2-294E94581E14}"/>
            </c:ext>
          </c:extLst>
        </c:ser>
        <c:ser>
          <c:idx val="3"/>
          <c:order val="3"/>
          <c:tx>
            <c:v>相城</c:v>
          </c:tx>
          <c:spPr>
            <a:ln w="19080">
              <a:solidFill>
                <a:srgbClr val="A35CA0"/>
              </a:solidFill>
              <a:round/>
            </a:ln>
          </c:spPr>
          <c:dLbls>
            <c:spPr>
              <a:noFill/>
              <a:ln>
                <a:noFill/>
              </a:ln>
              <a:effectLst/>
            </c:spPr>
            <c:txPr>
              <a:bodyPr wrap="square"/>
              <a:lstStyle/>
              <a:p>
                <a:pPr>
                  <a:defRPr sz="1000" b="0" u="none" strike="noStrike">
                    <a:solidFill>
                      <a:srgbClr val="000000"/>
                    </a:solidFill>
                    <a:uFillTx/>
                    <a:latin typeface="Calibri"/>
                    <a:ea typeface="Calibri"/>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配套与住房!$A$28:$A$31</c:f>
              <c:strCache>
                <c:ptCount val="4"/>
                <c:pt idx="0">
                  <c:v>创业经费</c:v>
                </c:pt>
                <c:pt idx="1">
                  <c:v>企业创新经费</c:v>
                </c:pt>
                <c:pt idx="2">
                  <c:v>常规团队经费</c:v>
                </c:pt>
                <c:pt idx="3">
                  <c:v>创业住房</c:v>
                </c:pt>
              </c:strCache>
            </c:strRef>
          </c:cat>
          <c:val>
            <c:numRef>
              <c:f>配套与住房!$E$28:$E$31</c:f>
              <c:numCache>
                <c:formatCode>0%</c:formatCode>
                <c:ptCount val="4"/>
                <c:pt idx="0">
                  <c:v>0.25</c:v>
                </c:pt>
                <c:pt idx="1">
                  <c:v>0.5</c:v>
                </c:pt>
                <c:pt idx="2">
                  <c:v>0.8</c:v>
                </c:pt>
                <c:pt idx="3">
                  <c:v>0.66666666666666663</c:v>
                </c:pt>
              </c:numCache>
            </c:numRef>
          </c:val>
          <c:extLst>
            <c:ext xmlns:c16="http://schemas.microsoft.com/office/drawing/2014/chart" uri="{C3380CC4-5D6E-409C-BE32-E72D297353CC}">
              <c16:uniqueId val="{00000003-2CB8-4CAC-89A2-294E94581E14}"/>
            </c:ext>
          </c:extLst>
        </c:ser>
        <c:dLbls>
          <c:showLegendKey val="0"/>
          <c:showVal val="0"/>
          <c:showCatName val="0"/>
          <c:showSerName val="0"/>
          <c:showPercent val="0"/>
          <c:showBubbleSize val="0"/>
        </c:dLbls>
        <c:axId val="51055093"/>
        <c:axId val="29743839"/>
      </c:radarChart>
      <c:catAx>
        <c:axId val="51055093"/>
        <c:scaling>
          <c:orientation val="maxMin"/>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noFill/>
          </a:ln>
        </c:spPr>
        <c:txPr>
          <a:bodyPr/>
          <a:lstStyle/>
          <a:p>
            <a:pPr>
              <a:defRPr sz="900" b="0" u="none" strike="noStrike">
                <a:solidFill>
                  <a:srgbClr val="000000"/>
                </a:solidFill>
                <a:uFillTx/>
                <a:latin typeface="Droid Sans Fallback"/>
              </a:defRPr>
            </a:pPr>
            <a:endParaRPr lang="zh-CN"/>
          </a:p>
        </c:txPr>
        <c:crossAx val="29743839"/>
        <c:crosses val="autoZero"/>
        <c:auto val="1"/>
        <c:lblAlgn val="ctr"/>
        <c:lblOffset val="100"/>
        <c:noMultiLvlLbl val="0"/>
      </c:catAx>
      <c:valAx>
        <c:axId val="29743839"/>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51055093"/>
        <c:crosses val="autoZero"/>
        <c:crossBetween val="midCat"/>
      </c:valAx>
      <c:spPr>
        <a:ln w="0">
          <a:noFill/>
        </a:ln>
      </c:spPr>
    </c:plotArea>
    <c:legend>
      <c:legendPos val="t"/>
      <c:overlay val="0"/>
      <c:spPr>
        <a:noFill/>
        <a:ln w="0">
          <a:noFill/>
        </a:ln>
      </c:spPr>
      <c:txPr>
        <a:bodyPr/>
        <a:lstStyle/>
        <a:p>
          <a:pPr>
            <a:defRPr sz="900" b="0" u="none" strike="noStrike">
              <a:solidFill>
                <a:srgbClr val="000000"/>
              </a:solidFill>
              <a:uFillTx/>
              <a:latin typeface="Droid Sans Fallback"/>
            </a:defRPr>
          </a:pPr>
          <a:endParaRPr lang="zh-CN"/>
        </a:p>
      </c:txPr>
    </c:legend>
    <c:plotVisOnly val="1"/>
    <c:dispBlanksAs val="zero"/>
    <c:showDLblsOverMax val="1"/>
  </c:chart>
  <c:spPr>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0" u="none" strike="noStrike">
                <a:uFillTx/>
                <a:latin typeface="Arial"/>
              </a:defRPr>
            </a:pPr>
            <a:r>
              <a:rPr sz="1125" b="1" u="none" strike="noStrike">
                <a:solidFill>
                  <a:srgbClr val="000000"/>
                </a:solidFill>
                <a:uFillTx/>
                <a:latin typeface="Droid Sans Fallback"/>
              </a:rPr>
              <a:t>企业融资额度（万元，不是无偿补助）</a:t>
            </a:r>
          </a:p>
        </c:rich>
      </c:tx>
      <c:overlay val="0"/>
      <c:spPr>
        <a:noFill/>
        <a:ln w="0">
          <a:noFill/>
        </a:ln>
      </c:spPr>
    </c:title>
    <c:autoTitleDeleted val="0"/>
    <c:plotArea>
      <c:layout/>
      <c:barChart>
        <c:barDir val="col"/>
        <c:grouping val="clustered"/>
        <c:varyColors val="0"/>
        <c:ser>
          <c:idx val="0"/>
          <c:order val="0"/>
          <c:tx>
            <c:v>上限</c:v>
          </c:tx>
          <c:spPr>
            <a:solidFill>
              <a:srgbClr val="356DB3"/>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zh-CN"/>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配套与住房!$A$57:$A$61</c:f>
              <c:strCache>
                <c:ptCount val="5"/>
                <c:pt idx="0">
                  <c:v>吴中</c:v>
                </c:pt>
                <c:pt idx="1">
                  <c:v>相城</c:v>
                </c:pt>
                <c:pt idx="2">
                  <c:v>昆山</c:v>
                </c:pt>
                <c:pt idx="3">
                  <c:v>高新区</c:v>
                </c:pt>
                <c:pt idx="4">
                  <c:v>园区</c:v>
                </c:pt>
              </c:strCache>
            </c:strRef>
          </c:cat>
          <c:val>
            <c:numRef>
              <c:f>配套与住房!$B$57:$B$61</c:f>
              <c:numCache>
                <c:formatCode>General</c:formatCode>
                <c:ptCount val="5"/>
                <c:pt idx="0">
                  <c:v>1000</c:v>
                </c:pt>
                <c:pt idx="1">
                  <c:v>1000</c:v>
                </c:pt>
                <c:pt idx="2">
                  <c:v>1500</c:v>
                </c:pt>
                <c:pt idx="3">
                  <c:v>2000</c:v>
                </c:pt>
                <c:pt idx="4">
                  <c:v>3000</c:v>
                </c:pt>
              </c:numCache>
            </c:numRef>
          </c:val>
          <c:extLst>
            <c:ext xmlns:c16="http://schemas.microsoft.com/office/drawing/2014/chart" uri="{C3380CC4-5D6E-409C-BE32-E72D297353CC}">
              <c16:uniqueId val="{00000000-ABEC-47D5-91E8-2106BCCC49E8}"/>
            </c:ext>
          </c:extLst>
        </c:ser>
        <c:dLbls>
          <c:showLegendKey val="0"/>
          <c:showVal val="0"/>
          <c:showCatName val="0"/>
          <c:showSerName val="0"/>
          <c:showPercent val="0"/>
          <c:showBubbleSize val="0"/>
        </c:dLbls>
        <c:gapWidth val="150"/>
        <c:axId val="74143961"/>
        <c:axId val="62470396"/>
      </c:barChart>
      <c:catAx>
        <c:axId val="7414396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62470396"/>
        <c:crosses val="autoZero"/>
        <c:auto val="1"/>
        <c:lblAlgn val="ctr"/>
        <c:lblOffset val="100"/>
        <c:noMultiLvlLbl val="0"/>
      </c:catAx>
      <c:valAx>
        <c:axId val="62470396"/>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sz="900" b="0" u="none" strike="noStrike">
                <a:solidFill>
                  <a:srgbClr val="000000"/>
                </a:solidFill>
                <a:uFillTx/>
                <a:latin typeface="Droid Sans Fallback"/>
              </a:defRPr>
            </a:pPr>
            <a:endParaRPr lang="zh-CN"/>
          </a:p>
        </c:txPr>
        <c:crossAx val="74143961"/>
        <c:crosses val="autoZero"/>
        <c:crossBetween val="between"/>
      </c:valAx>
      <c:spPr>
        <a:ln w="0">
          <a:noFill/>
        </a:ln>
      </c:spPr>
    </c:plotArea>
    <c:legend>
      <c:legendPos val="t"/>
      <c:overlay val="0"/>
      <c:spPr>
        <a:noFill/>
        <a:ln w="0">
          <a:noFill/>
        </a:ln>
      </c:spPr>
      <c:txPr>
        <a:bodyPr/>
        <a:lstStyle/>
        <a:p>
          <a:pPr>
            <a:defRPr sz="900" b="0" u="none" strike="noStrike">
              <a:solidFill>
                <a:srgbClr val="000000"/>
              </a:solidFill>
              <a:uFillTx/>
              <a:latin typeface="Droid Sans Fallback"/>
            </a:defRPr>
          </a:pPr>
          <a:endParaRPr lang="zh-CN"/>
        </a:p>
      </c:txPr>
    </c:legend>
    <c:plotVisOnly val="1"/>
    <c:dispBlanksAs val="zero"/>
    <c:showDLblsOverMax val="1"/>
  </c:chart>
  <c:spPr>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0</xdr:rowOff>
    </xdr:from>
    <xdr:to>
      <xdr:col>11</xdr:col>
      <xdr:colOff>775080</xdr:colOff>
      <xdr:row>25</xdr:row>
      <xdr:rowOff>317160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42</xdr:row>
      <xdr:rowOff>0</xdr:rowOff>
    </xdr:from>
    <xdr:to>
      <xdr:col>11</xdr:col>
      <xdr:colOff>775080</xdr:colOff>
      <xdr:row>60</xdr:row>
      <xdr:rowOff>316800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77</xdr:row>
      <xdr:rowOff>0</xdr:rowOff>
    </xdr:from>
    <xdr:to>
      <xdr:col>11</xdr:col>
      <xdr:colOff>775080</xdr:colOff>
      <xdr:row>95</xdr:row>
      <xdr:rowOff>317160</xdr:rowOff>
    </xdr:to>
    <xdr:graphicFrame macro="">
      <xdr:nvGraphicFramePr>
        <xdr:cNvPr id="4" nam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112</xdr:row>
      <xdr:rowOff>0</xdr:rowOff>
    </xdr:from>
    <xdr:to>
      <xdr:col>11</xdr:col>
      <xdr:colOff>775080</xdr:colOff>
      <xdr:row>130</xdr:row>
      <xdr:rowOff>317160</xdr:rowOff>
    </xdr:to>
    <xdr:graphicFrame macro="">
      <xdr:nvGraphicFramePr>
        <xdr:cNvPr id="5" nam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5</xdr:col>
      <xdr:colOff>4087800</xdr:colOff>
      <xdr:row>39</xdr:row>
      <xdr:rowOff>317160</xdr:rowOff>
    </xdr:to>
    <xdr:graphicFrame macro="">
      <xdr:nvGraphicFramePr>
        <xdr:cNvPr id="5" nam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33</xdr:row>
      <xdr:rowOff>0</xdr:rowOff>
    </xdr:from>
    <xdr:to>
      <xdr:col>5</xdr:col>
      <xdr:colOff>1268280</xdr:colOff>
      <xdr:row>50</xdr:row>
      <xdr:rowOff>317160</xdr:rowOff>
    </xdr:to>
    <xdr:graphicFrame macro="">
      <xdr:nvGraphicFramePr>
        <xdr:cNvPr id="6" nam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63</xdr:row>
      <xdr:rowOff>0</xdr:rowOff>
    </xdr:from>
    <xdr:to>
      <xdr:col>5</xdr:col>
      <xdr:colOff>1268280</xdr:colOff>
      <xdr:row>79</xdr:row>
      <xdr:rowOff>317160</xdr:rowOff>
    </xdr:to>
    <xdr:graphicFrame macro="">
      <xdr:nvGraphicFramePr>
        <xdr:cNvPr id="7" name="Chart">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0_18" displayName="T0_18" ref="A18:B23" totalsRowShown="0">
  <tableColumns count="2">
    <tableColumn id="1" xr3:uid="{00000000-0010-0000-0000-000001000000}" name="说明项"/>
    <tableColumn id="2" xr3:uid="{00000000-0010-0000-0000-000002000000}" name="解释"/>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0_28" displayName="T0_28" ref="A28:C36" totalsRowShown="0">
  <tableColumns count="3">
    <tableColumn id="1" xr3:uid="{00000000-0010-0000-0100-000001000000}" name="比较维度"/>
    <tableColumn id="2" xr3:uid="{00000000-0010-0000-0100-000002000000}" name="根据附件可得的判断"/>
    <tableColumn id="3" xr3:uid="{00000000-0010-0000-0100-000003000000}" name="使用建议"/>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0_42" displayName="T0_42" ref="A42:E54" totalsRowShown="0">
  <tableColumns count="5">
    <tableColumn id="1" xr3:uid="{00000000-0010-0000-0200-000001000000}" name="事项"/>
    <tableColumn id="2" xr3:uid="{00000000-0010-0000-0200-000002000000}" name="发现的问题"/>
    <tableColumn id="3" xr3:uid="{00000000-0010-0000-0200-000003000000}" name="本表处理"/>
    <tableColumn id="4" xr3:uid="{00000000-0010-0000-0200-000004000000}" name="待补材料"/>
    <tableColumn id="5" xr3:uid="{00000000-0010-0000-0200-000005000000}" name="定位"/>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0_5" displayName="T0_5" ref="A5:E13" totalsRowShown="0">
  <tableColumns count="5">
    <tableColumn id="1" xr3:uid="{00000000-0010-0000-0300-000001000000}" name="地区"/>
    <tableColumn id="2" xr3:uid="{00000000-0010-0000-0300-000002000000}" name="常规创业资助（万元）"/>
    <tableColumn id="3" xr3:uid="{00000000-0010-0000-0300-000003000000}" name="创业住房参考（万元）"/>
    <tableColumn id="4" xr3:uid="{00000000-0010-0000-0300-000004000000}" name="项目拨付信息"/>
    <tableColumn id="5" xr3:uid="{00000000-0010-0000-0300-000005000000}" name="主要判断"/>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2_5" displayName="T2_5" ref="A5:I13" totalsRowShown="0">
  <tableColumns count="9">
    <tableColumn id="1" xr3:uid="{00000000-0010-0000-0400-000001000000}" name="地区"/>
    <tableColumn id="2" xr3:uid="{00000000-0010-0000-0400-000002000000}" name="资金类型"/>
    <tableColumn id="3" xr3:uid="{00000000-0010-0000-0400-000003000000}" name="比例或方式"/>
    <tableColumn id="4" xr3:uid="{00000000-0010-0000-0400-000004000000}" name="触发及周期"/>
    <tableColumn id="5" xr3:uid="{00000000-0010-0000-0400-000005000000}" name="版本/到账边界"/>
    <tableColumn id="6" xr3:uid="{00000000-0010-0000-0400-000006000000}" name="住房兑现方式"/>
    <tableColumn id="7" xr3:uid="{00000000-0010-0000-0400-000007000000}" name="住房期限与关键条件"/>
    <tableColumn id="8" xr3:uid="{00000000-0010-0000-0400-000008000000}" name="互斥及衔接"/>
    <tableColumn id="9" xr3:uid="{00000000-0010-0000-0400-000009000000}" name="来源"/>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3_5" displayName="T3_5" ref="A5:M13" totalsRowShown="0">
  <tableColumns count="13">
    <tableColumn id="1" xr3:uid="{00000000-0010-0000-0500-000001000000}" name="地区"/>
    <tableColumn id="2" xr3:uid="{00000000-0010-0000-0500-000002000000}" name="创业学历"/>
    <tableColumn id="3" xr3:uid="{00000000-0010-0000-0500-000003000000}" name="创业经历"/>
    <tableColumn id="4" xr3:uid="{00000000-0010-0000-0500-000004000000}" name="个人基础实缴（万元）"/>
    <tableColumn id="5" xr3:uid="{00000000-0010-0000-0500-000005000000}" name="创业股权要求"/>
    <tableColumn id="6" xr3:uid="{00000000-0010-0000-0500-000006000000}" name="出资/资本补充条件"/>
    <tableColumn id="7" xr3:uid="{00000000-0010-0000-0500-000007000000}" name="企业及在地要求"/>
    <tableColumn id="8" xr3:uid="{00000000-0010-0000-0500-000008000000}" name="创新人才条件"/>
    <tableColumn id="9" xr3:uid="{00000000-0010-0000-0500-000009000000}" name="团队规模与投入"/>
    <tableColumn id="10" xr3:uid="{00000000-0010-0000-0500-00000A000000}" name="附件列示受理窗口"/>
    <tableColumn id="11" xr3:uid="{00000000-0010-0000-0500-00000B000000}" name="流程"/>
    <tableColumn id="12" xr3:uid="{00000000-0010-0000-0500-00000C000000}" name="入口/咨询"/>
    <tableColumn id="13" xr3:uid="{00000000-0010-0000-0500-00000D000000}" name="来源"/>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4_5" displayName="T4_5" ref="A5:J13" totalsRowShown="0">
  <tableColumns count="10">
    <tableColumn id="1" xr3:uid="{00000000-0010-0000-0600-000001000000}" name="地区"/>
    <tableColumn id="2" xr3:uid="{00000000-0010-0000-0600-000002000000}" name="常规办公面积上限㎡"/>
    <tableColumn id="3" xr3:uid="{00000000-0010-0000-0600-000003000000}" name="支持年限"/>
    <tableColumn id="4" xr3:uid="{00000000-0010-0000-0600-000004000000}" name="企业贷款上限万元"/>
    <tableColumn id="5" xr3:uid="{00000000-0010-0000-0600-000005000000}" name="股权投资上限万元"/>
    <tableColumn id="6" xr3:uid="{00000000-0010-0000-0600-000006000000}" name="常规贴息上限万元"/>
    <tableColumn id="7" xr3:uid="{00000000-0010-0000-0600-000007000000}" name="上级叠加规则"/>
    <tableColumn id="8" xr3:uid="{00000000-0010-0000-0600-000008000000}" name="生活与企业服务"/>
    <tableColumn id="9" xr3:uid="{00000000-0010-0000-0600-000009000000}" name="适用限制及补充"/>
    <tableColumn id="10" xr3:uid="{00000000-0010-0000-0600-00000A000000}" name="来源"/>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5_5" displayName="T5_5" ref="A5:L30" totalsRowShown="0">
  <tableColumns count="12">
    <tableColumn id="1" xr3:uid="{00000000-0010-0000-0700-000001000000}" name="地区"/>
    <tableColumn id="2" xr3:uid="{00000000-0010-0000-0700-000002000000}" name="年度/披露年"/>
    <tableColumn id="3" xr3:uid="{00000000-0010-0000-0700-000003000000}" name="批次或期间"/>
    <tableColumn id="4" xr3:uid="{00000000-0010-0000-0700-000004000000}" name="结果阶段"/>
    <tableColumn id="5" xr3:uid="{00000000-0010-0000-0700-000005000000}" name="文档数量/边界值"/>
    <tableColumn id="6" xr3:uid="{00000000-0010-0000-0700-000006000000}" name="同口径申报数"/>
    <tableColumn id="7" xr3:uid="{00000000-0010-0000-0700-000007000000}" name="单位"/>
    <tableColumn id="8" xr3:uid="{00000000-0010-0000-0700-000008000000}" name="统计范围"/>
    <tableColumn id="9" xr3:uid="{00000000-0010-0000-0700-000009000000}" name="证据属性"/>
    <tableColumn id="10" xr3:uid="{00000000-0010-0000-0700-00000A000000}" name="来源定位"/>
    <tableColumn id="11" xr3:uid="{00000000-0010-0000-0700-00000B000000}" name="解释和限制"/>
    <tableColumn id="12" xr3:uid="{00000000-0010-0000-0700-00000C000000}" name="局部数量之比"/>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6_5" displayName="T6_5" ref="A5:L57" totalsRowShown="0">
  <tableColumns count="12">
    <tableColumn id="1" xr3:uid="{00000000-0010-0000-0800-000001000000}" name="编号"/>
    <tableColumn id="2" xr3:uid="{00000000-0010-0000-0800-000002000000}" name="地区"/>
    <tableColumn id="3" xr3:uid="{00000000-0010-0000-0800-000003000000}" name="类别"/>
    <tableColumn id="4" xr3:uid="{00000000-0010-0000-0800-000004000000}" name="子类"/>
    <tableColumn id="5" xr3:uid="{00000000-0010-0000-0800-000005000000}" name="最低/最低档"/>
    <tableColumn id="6" xr3:uid="{00000000-0010-0000-0800-000006000000}" name="最高/最高档"/>
    <tableColumn id="7" xr3:uid="{00000000-0010-0000-0800-000007000000}" name="原文档次"/>
    <tableColumn id="8" xr3:uid="{00000000-0010-0000-0800-000008000000}" name="资金性质"/>
    <tableColumn id="9" xr3:uid="{00000000-0010-0000-0800-000009000000}" name="适用及证据边界"/>
    <tableColumn id="10" xr3:uid="{00000000-0010-0000-0800-00000A000000}" name="附件来源"/>
    <tableColumn id="11" xr3:uid="{00000000-0010-0000-0800-00000B000000}" name="原文块定位"/>
    <tableColumn id="12" xr3:uid="{00000000-0010-0000-0800-00000C000000}" name="区间跨度"/>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7_5" displayName="T7_5" ref="A5:F174" totalsRowShown="0">
  <tableColumns count="6">
    <tableColumn id="1" xr3:uid="{00000000-0010-0000-0900-000001000000}" name="类型"/>
    <tableColumn id="2" xr3:uid="{00000000-0010-0000-0900-000002000000}" name="地区"/>
    <tableColumn id="3" xr3:uid="{00000000-0010-0000-0900-000003000000}" name="附件文件"/>
    <tableColumn id="4" xr3:uid="{00000000-0010-0000-0900-000004000000}" name="原文块/链接标题"/>
    <tableColumn id="5" xr3:uid="{00000000-0010-0000-0900-000005000000}" name="摘录或URL"/>
    <tableColumn id="6" xr3:uid="{00000000-0010-0000-0900-000006000000}"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3864"/>
  </sheetPr>
  <dimension ref="A1:H80"/>
  <sheetViews>
    <sheetView showGridLines="0" tabSelected="1" zoomScaleNormal="100" workbookViewId="0"/>
  </sheetViews>
  <sheetFormatPr defaultColWidth="8.6328125" defaultRowHeight="12.5"/>
  <cols>
    <col min="1" max="1" width="25" customWidth="1"/>
    <col min="2" max="2" width="63" customWidth="1"/>
    <col min="3" max="3" width="62" customWidth="1"/>
    <col min="4" max="4" width="50" customWidth="1"/>
    <col min="5" max="5" width="32" customWidth="1"/>
    <col min="6" max="8" width="16" customWidth="1"/>
  </cols>
  <sheetData>
    <row r="1" spans="1:8" ht="25" customHeight="1">
      <c r="A1" s="1"/>
      <c r="B1" s="1"/>
      <c r="C1" s="1"/>
      <c r="D1" s="1"/>
      <c r="E1" s="1"/>
      <c r="F1" s="1"/>
      <c r="G1" s="1"/>
      <c r="H1" s="1"/>
    </row>
    <row r="2" spans="1:8" ht="25" customHeight="1">
      <c r="A2" s="2" t="s">
        <v>0</v>
      </c>
      <c r="B2" s="1"/>
      <c r="C2" s="1"/>
      <c r="D2" s="1"/>
      <c r="E2" s="1"/>
      <c r="F2" s="1"/>
      <c r="G2" s="1"/>
      <c r="H2" s="1"/>
    </row>
    <row r="3" spans="1:8" ht="25" customHeight="1">
      <c r="A3" s="3" t="s">
        <v>1</v>
      </c>
      <c r="B3" s="1"/>
      <c r="C3" s="1"/>
      <c r="D3" s="1"/>
      <c r="E3" s="1"/>
      <c r="F3" s="1"/>
      <c r="G3" s="1"/>
      <c r="H3" s="1"/>
    </row>
    <row r="4" spans="1:8" ht="25" customHeight="1">
      <c r="A4" s="1"/>
      <c r="B4" s="1"/>
      <c r="C4" s="1"/>
      <c r="D4" s="1"/>
      <c r="E4" s="1"/>
      <c r="F4" s="1"/>
      <c r="G4" s="1"/>
      <c r="H4" s="1"/>
    </row>
    <row r="5" spans="1:8" ht="40" customHeight="1">
      <c r="A5" s="4" t="s">
        <v>2</v>
      </c>
      <c r="B5" s="4" t="s">
        <v>3</v>
      </c>
      <c r="C5" s="4" t="s">
        <v>4</v>
      </c>
      <c r="D5" s="4" t="s">
        <v>5</v>
      </c>
      <c r="E5" s="4" t="s">
        <v>6</v>
      </c>
      <c r="F5" s="1"/>
      <c r="G5" s="1"/>
      <c r="H5" s="1"/>
    </row>
    <row r="6" spans="1:8" ht="62" customHeight="1">
      <c r="A6" s="5" t="s">
        <v>7</v>
      </c>
      <c r="B6" s="5" t="s">
        <v>8</v>
      </c>
      <c r="C6" s="5" t="s">
        <v>9</v>
      </c>
      <c r="D6" s="5" t="s">
        <v>10</v>
      </c>
      <c r="E6" s="5" t="s">
        <v>11</v>
      </c>
      <c r="F6" s="1"/>
      <c r="G6" s="1"/>
      <c r="H6" s="1"/>
    </row>
    <row r="7" spans="1:8" ht="62" customHeight="1">
      <c r="A7" s="6" t="s">
        <v>12</v>
      </c>
      <c r="B7" s="6" t="s">
        <v>13</v>
      </c>
      <c r="C7" s="6" t="s">
        <v>13</v>
      </c>
      <c r="D7" s="6" t="s">
        <v>14</v>
      </c>
      <c r="E7" s="6" t="s">
        <v>15</v>
      </c>
      <c r="F7" s="1"/>
      <c r="G7" s="1"/>
      <c r="H7" s="1"/>
    </row>
    <row r="8" spans="1:8" ht="62" customHeight="1">
      <c r="A8" s="5" t="s">
        <v>16</v>
      </c>
      <c r="B8" s="5" t="s">
        <v>17</v>
      </c>
      <c r="C8" s="5" t="s">
        <v>18</v>
      </c>
      <c r="D8" s="5" t="s">
        <v>19</v>
      </c>
      <c r="E8" s="5" t="s">
        <v>20</v>
      </c>
      <c r="F8" s="1"/>
      <c r="G8" s="1"/>
      <c r="H8" s="1"/>
    </row>
    <row r="9" spans="1:8" ht="62" customHeight="1">
      <c r="A9" s="6" t="s">
        <v>21</v>
      </c>
      <c r="B9" s="6" t="s">
        <v>22</v>
      </c>
      <c r="C9" s="6" t="s">
        <v>23</v>
      </c>
      <c r="D9" s="6" t="s">
        <v>24</v>
      </c>
      <c r="E9" s="6" t="s">
        <v>25</v>
      </c>
      <c r="F9" s="1"/>
      <c r="G9" s="1"/>
      <c r="H9" s="1"/>
    </row>
    <row r="10" spans="1:8" ht="62" customHeight="1">
      <c r="A10" s="5" t="s">
        <v>26</v>
      </c>
      <c r="B10" s="5" t="s">
        <v>27</v>
      </c>
      <c r="C10" s="5" t="s">
        <v>28</v>
      </c>
      <c r="D10" s="5" t="s">
        <v>29</v>
      </c>
      <c r="E10" s="5" t="s">
        <v>30</v>
      </c>
      <c r="F10" s="1"/>
      <c r="G10" s="1"/>
      <c r="H10" s="1"/>
    </row>
    <row r="11" spans="1:8" ht="62" customHeight="1">
      <c r="A11" s="6" t="s">
        <v>31</v>
      </c>
      <c r="B11" s="6" t="s">
        <v>32</v>
      </c>
      <c r="C11" s="6" t="s">
        <v>13</v>
      </c>
      <c r="D11" s="6" t="s">
        <v>33</v>
      </c>
      <c r="E11" s="6" t="s">
        <v>34</v>
      </c>
      <c r="F11" s="1"/>
      <c r="G11" s="1"/>
      <c r="H11" s="1"/>
    </row>
    <row r="12" spans="1:8" ht="62" customHeight="1">
      <c r="A12" s="5" t="s">
        <v>35</v>
      </c>
      <c r="B12" s="5" t="s">
        <v>32</v>
      </c>
      <c r="C12" s="5" t="s">
        <v>36</v>
      </c>
      <c r="D12" s="5" t="s">
        <v>37</v>
      </c>
      <c r="E12" s="5" t="s">
        <v>38</v>
      </c>
      <c r="F12" s="1"/>
      <c r="G12" s="1"/>
      <c r="H12" s="1"/>
    </row>
    <row r="13" spans="1:8" ht="62" customHeight="1">
      <c r="A13" s="6" t="s">
        <v>39</v>
      </c>
      <c r="B13" s="6" t="s">
        <v>40</v>
      </c>
      <c r="C13" s="6" t="s">
        <v>13</v>
      </c>
      <c r="D13" s="6" t="s">
        <v>41</v>
      </c>
      <c r="E13" s="6" t="s">
        <v>42</v>
      </c>
      <c r="F13" s="1"/>
      <c r="G13" s="1"/>
      <c r="H13" s="1"/>
    </row>
    <row r="14" spans="1:8" ht="25" customHeight="1">
      <c r="A14" s="1"/>
      <c r="B14" s="1"/>
      <c r="C14" s="1"/>
      <c r="D14" s="1"/>
      <c r="E14" s="1"/>
      <c r="F14" s="1"/>
      <c r="G14" s="1"/>
      <c r="H14" s="1"/>
    </row>
    <row r="15" spans="1:8" ht="25" customHeight="1">
      <c r="A15" s="1"/>
      <c r="B15" s="1"/>
      <c r="C15" s="1"/>
      <c r="D15" s="1"/>
      <c r="E15" s="1"/>
      <c r="F15" s="1"/>
      <c r="G15" s="1"/>
      <c r="H15" s="1"/>
    </row>
    <row r="16" spans="1:8" ht="25" customHeight="1">
      <c r="A16" s="7" t="s">
        <v>43</v>
      </c>
      <c r="B16" s="1"/>
      <c r="C16" s="1"/>
      <c r="D16" s="1"/>
      <c r="E16" s="1"/>
      <c r="F16" s="1"/>
      <c r="G16" s="1"/>
      <c r="H16" s="1"/>
    </row>
    <row r="17" spans="1:8" ht="25" customHeight="1">
      <c r="A17" s="1"/>
      <c r="B17" s="1"/>
      <c r="C17" s="1"/>
      <c r="D17" s="1"/>
      <c r="E17" s="1"/>
      <c r="F17" s="1"/>
      <c r="G17" s="1"/>
      <c r="H17" s="1"/>
    </row>
    <row r="18" spans="1:8" ht="40" customHeight="1">
      <c r="A18" s="4" t="s">
        <v>44</v>
      </c>
      <c r="B18" s="4" t="s">
        <v>45</v>
      </c>
      <c r="C18" s="1"/>
      <c r="D18" s="1"/>
      <c r="E18" s="1"/>
      <c r="F18" s="1"/>
      <c r="G18" s="1"/>
      <c r="H18" s="1"/>
    </row>
    <row r="19" spans="1:8" ht="90" customHeight="1">
      <c r="A19" s="5" t="s">
        <v>46</v>
      </c>
      <c r="B19" s="5" t="s">
        <v>47</v>
      </c>
      <c r="C19" s="1"/>
      <c r="D19" s="1"/>
      <c r="E19" s="1"/>
      <c r="F19" s="1"/>
      <c r="G19" s="1"/>
      <c r="H19" s="1"/>
    </row>
    <row r="20" spans="1:8" ht="90" customHeight="1">
      <c r="A20" s="6" t="s">
        <v>48</v>
      </c>
      <c r="B20" s="6" t="s">
        <v>49</v>
      </c>
      <c r="C20" s="1"/>
      <c r="D20" s="1"/>
      <c r="E20" s="1"/>
      <c r="F20" s="1"/>
      <c r="G20" s="1"/>
      <c r="H20" s="1"/>
    </row>
    <row r="21" spans="1:8" ht="90" customHeight="1">
      <c r="A21" s="5" t="s">
        <v>50</v>
      </c>
      <c r="B21" s="5" t="s">
        <v>51</v>
      </c>
      <c r="C21" s="1"/>
      <c r="D21" s="1"/>
      <c r="E21" s="1"/>
      <c r="F21" s="1"/>
      <c r="G21" s="1"/>
      <c r="H21" s="1"/>
    </row>
    <row r="22" spans="1:8" ht="90" customHeight="1">
      <c r="A22" s="6" t="s">
        <v>52</v>
      </c>
      <c r="B22" s="6" t="s">
        <v>53</v>
      </c>
      <c r="C22" s="1"/>
      <c r="D22" s="1"/>
      <c r="E22" s="1"/>
      <c r="F22" s="1"/>
      <c r="G22" s="1"/>
      <c r="H22" s="1"/>
    </row>
    <row r="23" spans="1:8" ht="90" customHeight="1">
      <c r="A23" s="5" t="s">
        <v>54</v>
      </c>
      <c r="B23" s="5" t="s">
        <v>55</v>
      </c>
      <c r="C23" s="1"/>
      <c r="D23" s="1"/>
      <c r="E23" s="1"/>
      <c r="F23" s="1"/>
      <c r="G23" s="1"/>
      <c r="H23" s="1"/>
    </row>
    <row r="24" spans="1:8" ht="25" customHeight="1">
      <c r="A24" s="1"/>
      <c r="B24" s="1"/>
      <c r="C24" s="1"/>
      <c r="D24" s="1"/>
      <c r="E24" s="1"/>
      <c r="F24" s="1"/>
      <c r="G24" s="1"/>
      <c r="H24" s="1"/>
    </row>
    <row r="25" spans="1:8" ht="25" customHeight="1">
      <c r="A25" s="1"/>
      <c r="B25" s="1"/>
      <c r="C25" s="1"/>
      <c r="D25" s="1"/>
      <c r="E25" s="1"/>
      <c r="F25" s="1"/>
      <c r="G25" s="1"/>
      <c r="H25" s="1"/>
    </row>
    <row r="26" spans="1:8" ht="25" customHeight="1">
      <c r="A26" s="7" t="s">
        <v>56</v>
      </c>
      <c r="B26" s="1"/>
      <c r="C26" s="1"/>
      <c r="D26" s="1"/>
      <c r="E26" s="1"/>
      <c r="F26" s="1"/>
      <c r="G26" s="1"/>
      <c r="H26" s="1"/>
    </row>
    <row r="27" spans="1:8" ht="25" customHeight="1">
      <c r="A27" s="1"/>
      <c r="B27" s="1"/>
      <c r="C27" s="1"/>
      <c r="D27" s="1"/>
      <c r="E27" s="1"/>
      <c r="F27" s="1"/>
      <c r="G27" s="1"/>
      <c r="H27" s="1"/>
    </row>
    <row r="28" spans="1:8" ht="40" customHeight="1">
      <c r="A28" s="4" t="s">
        <v>57</v>
      </c>
      <c r="B28" s="4" t="s">
        <v>58</v>
      </c>
      <c r="C28" s="4" t="s">
        <v>59</v>
      </c>
      <c r="D28" s="1"/>
      <c r="E28" s="1"/>
      <c r="F28" s="1"/>
      <c r="G28" s="1"/>
      <c r="H28" s="1"/>
    </row>
    <row r="29" spans="1:8" ht="125" customHeight="1">
      <c r="A29" s="5" t="s">
        <v>60</v>
      </c>
      <c r="B29" s="5" t="s">
        <v>61</v>
      </c>
      <c r="C29" s="5" t="s">
        <v>62</v>
      </c>
      <c r="D29" s="1"/>
      <c r="E29" s="1"/>
      <c r="F29" s="1"/>
      <c r="G29" s="1"/>
      <c r="H29" s="1"/>
    </row>
    <row r="30" spans="1:8" ht="125" customHeight="1">
      <c r="A30" s="6" t="s">
        <v>63</v>
      </c>
      <c r="B30" s="6" t="s">
        <v>64</v>
      </c>
      <c r="C30" s="6" t="s">
        <v>65</v>
      </c>
      <c r="D30" s="1"/>
      <c r="E30" s="1"/>
      <c r="F30" s="1"/>
      <c r="G30" s="1"/>
      <c r="H30" s="1"/>
    </row>
    <row r="31" spans="1:8" ht="125" customHeight="1">
      <c r="A31" s="5" t="s">
        <v>66</v>
      </c>
      <c r="B31" s="5" t="s">
        <v>67</v>
      </c>
      <c r="C31" s="5" t="s">
        <v>68</v>
      </c>
      <c r="D31" s="1"/>
      <c r="E31" s="1"/>
      <c r="F31" s="1"/>
      <c r="G31" s="1"/>
      <c r="H31" s="1"/>
    </row>
    <row r="32" spans="1:8" ht="125" customHeight="1">
      <c r="A32" s="6" t="s">
        <v>69</v>
      </c>
      <c r="B32" s="6" t="s">
        <v>70</v>
      </c>
      <c r="C32" s="6" t="s">
        <v>71</v>
      </c>
      <c r="D32" s="1"/>
      <c r="E32" s="1"/>
      <c r="F32" s="1"/>
      <c r="G32" s="1"/>
      <c r="H32" s="1"/>
    </row>
    <row r="33" spans="1:8" ht="125" customHeight="1">
      <c r="A33" s="5" t="s">
        <v>72</v>
      </c>
      <c r="B33" s="5" t="s">
        <v>73</v>
      </c>
      <c r="C33" s="5" t="s">
        <v>74</v>
      </c>
      <c r="D33" s="1"/>
      <c r="E33" s="1"/>
      <c r="F33" s="1"/>
      <c r="G33" s="1"/>
      <c r="H33" s="1"/>
    </row>
    <row r="34" spans="1:8" ht="125" customHeight="1">
      <c r="A34" s="6" t="s">
        <v>75</v>
      </c>
      <c r="B34" s="6" t="s">
        <v>76</v>
      </c>
      <c r="C34" s="6" t="s">
        <v>77</v>
      </c>
      <c r="D34" s="1"/>
      <c r="E34" s="1"/>
      <c r="F34" s="1"/>
      <c r="G34" s="1"/>
      <c r="H34" s="1"/>
    </row>
    <row r="35" spans="1:8" ht="125" customHeight="1">
      <c r="A35" s="5" t="s">
        <v>78</v>
      </c>
      <c r="B35" s="5" t="s">
        <v>79</v>
      </c>
      <c r="C35" s="5" t="s">
        <v>80</v>
      </c>
      <c r="D35" s="1"/>
      <c r="E35" s="1"/>
      <c r="F35" s="1"/>
      <c r="G35" s="1"/>
      <c r="H35" s="1"/>
    </row>
    <row r="36" spans="1:8" ht="125" customHeight="1">
      <c r="A36" s="6" t="s">
        <v>81</v>
      </c>
      <c r="B36" s="6" t="s">
        <v>82</v>
      </c>
      <c r="C36" s="6" t="s">
        <v>83</v>
      </c>
      <c r="D36" s="1"/>
      <c r="E36" s="1"/>
      <c r="F36" s="1"/>
      <c r="G36" s="1"/>
      <c r="H36" s="1"/>
    </row>
    <row r="37" spans="1:8" ht="25" customHeight="1">
      <c r="A37" s="1"/>
      <c r="B37" s="1"/>
      <c r="C37" s="1"/>
      <c r="D37" s="1"/>
      <c r="E37" s="1"/>
      <c r="F37" s="1"/>
      <c r="G37" s="1"/>
      <c r="H37" s="1"/>
    </row>
    <row r="38" spans="1:8" ht="25" customHeight="1">
      <c r="A38" s="1"/>
      <c r="B38" s="1"/>
      <c r="C38" s="1"/>
      <c r="D38" s="1"/>
      <c r="E38" s="1"/>
      <c r="F38" s="1"/>
      <c r="G38" s="1"/>
      <c r="H38" s="1"/>
    </row>
    <row r="39" spans="1:8" ht="25" customHeight="1">
      <c r="A39" s="1"/>
      <c r="B39" s="1"/>
      <c r="C39" s="1"/>
      <c r="D39" s="1"/>
      <c r="E39" s="1"/>
      <c r="F39" s="1"/>
      <c r="G39" s="1"/>
      <c r="H39" s="1"/>
    </row>
    <row r="40" spans="1:8" ht="25" customHeight="1">
      <c r="A40" s="7" t="s">
        <v>84</v>
      </c>
      <c r="B40" s="1"/>
      <c r="C40" s="1"/>
      <c r="D40" s="1"/>
      <c r="E40" s="1"/>
      <c r="F40" s="1"/>
      <c r="G40" s="1"/>
      <c r="H40" s="1"/>
    </row>
    <row r="41" spans="1:8" ht="25" customHeight="1">
      <c r="A41" s="1"/>
      <c r="B41" s="1"/>
      <c r="C41" s="1"/>
      <c r="D41" s="1"/>
      <c r="E41" s="1"/>
      <c r="F41" s="1"/>
      <c r="G41" s="1"/>
      <c r="H41" s="1"/>
    </row>
    <row r="42" spans="1:8" ht="40" customHeight="1">
      <c r="A42" s="4" t="s">
        <v>85</v>
      </c>
      <c r="B42" s="4" t="s">
        <v>86</v>
      </c>
      <c r="C42" s="4" t="s">
        <v>87</v>
      </c>
      <c r="D42" s="4" t="s">
        <v>88</v>
      </c>
      <c r="E42" s="4" t="s">
        <v>89</v>
      </c>
      <c r="F42" s="1"/>
      <c r="G42" s="1"/>
      <c r="H42" s="1"/>
    </row>
    <row r="43" spans="1:8" ht="62" customHeight="1">
      <c r="A43" s="5" t="s">
        <v>90</v>
      </c>
      <c r="B43" s="5" t="s">
        <v>91</v>
      </c>
      <c r="C43" s="5" t="s">
        <v>92</v>
      </c>
      <c r="D43" s="5" t="s">
        <v>93</v>
      </c>
      <c r="E43" s="5" t="s">
        <v>94</v>
      </c>
      <c r="F43" s="1"/>
      <c r="G43" s="1"/>
      <c r="H43" s="1"/>
    </row>
    <row r="44" spans="1:8" ht="62" customHeight="1">
      <c r="A44" s="6" t="s">
        <v>95</v>
      </c>
      <c r="B44" s="6" t="s">
        <v>96</v>
      </c>
      <c r="C44" s="6" t="s">
        <v>97</v>
      </c>
      <c r="D44" s="6" t="s">
        <v>98</v>
      </c>
      <c r="E44" s="6" t="s">
        <v>99</v>
      </c>
      <c r="F44" s="1"/>
      <c r="G44" s="1"/>
      <c r="H44" s="1"/>
    </row>
    <row r="45" spans="1:8" ht="62" customHeight="1">
      <c r="A45" s="5" t="s">
        <v>100</v>
      </c>
      <c r="B45" s="5" t="s">
        <v>101</v>
      </c>
      <c r="C45" s="5" t="s">
        <v>102</v>
      </c>
      <c r="D45" s="5" t="s">
        <v>103</v>
      </c>
      <c r="E45" s="5" t="s">
        <v>104</v>
      </c>
      <c r="F45" s="1"/>
      <c r="G45" s="1"/>
      <c r="H45" s="1"/>
    </row>
    <row r="46" spans="1:8" ht="62" customHeight="1">
      <c r="A46" s="6" t="s">
        <v>105</v>
      </c>
      <c r="B46" s="6" t="s">
        <v>106</v>
      </c>
      <c r="C46" s="6" t="s">
        <v>107</v>
      </c>
      <c r="D46" s="6" t="s">
        <v>108</v>
      </c>
      <c r="E46" s="6" t="s">
        <v>109</v>
      </c>
      <c r="F46" s="1"/>
      <c r="G46" s="1"/>
      <c r="H46" s="1"/>
    </row>
    <row r="47" spans="1:8" ht="62" customHeight="1">
      <c r="A47" s="5" t="s">
        <v>110</v>
      </c>
      <c r="B47" s="5" t="s">
        <v>111</v>
      </c>
      <c r="C47" s="5" t="s">
        <v>112</v>
      </c>
      <c r="D47" s="5" t="s">
        <v>113</v>
      </c>
      <c r="E47" s="5" t="s">
        <v>114</v>
      </c>
      <c r="F47" s="1"/>
      <c r="G47" s="1"/>
      <c r="H47" s="1"/>
    </row>
    <row r="48" spans="1:8" ht="62" customHeight="1">
      <c r="A48" s="6" t="s">
        <v>115</v>
      </c>
      <c r="B48" s="6" t="s">
        <v>116</v>
      </c>
      <c r="C48" s="6" t="s">
        <v>117</v>
      </c>
      <c r="D48" s="6" t="s">
        <v>118</v>
      </c>
      <c r="E48" s="6" t="s">
        <v>119</v>
      </c>
      <c r="F48" s="1"/>
      <c r="G48" s="1"/>
      <c r="H48" s="1"/>
    </row>
    <row r="49" spans="1:8" ht="62" customHeight="1">
      <c r="A49" s="5" t="s">
        <v>120</v>
      </c>
      <c r="B49" s="5" t="s">
        <v>121</v>
      </c>
      <c r="C49" s="5" t="s">
        <v>122</v>
      </c>
      <c r="D49" s="5" t="s">
        <v>123</v>
      </c>
      <c r="E49" s="5" t="s">
        <v>124</v>
      </c>
      <c r="F49" s="1"/>
      <c r="G49" s="1"/>
      <c r="H49" s="1"/>
    </row>
    <row r="50" spans="1:8" ht="62" customHeight="1">
      <c r="A50" s="6" t="s">
        <v>125</v>
      </c>
      <c r="B50" s="6" t="s">
        <v>126</v>
      </c>
      <c r="C50" s="6" t="s">
        <v>127</v>
      </c>
      <c r="D50" s="6" t="s">
        <v>128</v>
      </c>
      <c r="E50" s="6" t="s">
        <v>129</v>
      </c>
      <c r="F50" s="1"/>
      <c r="G50" s="1"/>
      <c r="H50" s="1"/>
    </row>
    <row r="51" spans="1:8" ht="62" customHeight="1">
      <c r="A51" s="5" t="s">
        <v>130</v>
      </c>
      <c r="B51" s="5" t="s">
        <v>131</v>
      </c>
      <c r="C51" s="5" t="s">
        <v>132</v>
      </c>
      <c r="D51" s="5" t="s">
        <v>133</v>
      </c>
      <c r="E51" s="5" t="s">
        <v>134</v>
      </c>
      <c r="F51" s="1"/>
      <c r="G51" s="1"/>
      <c r="H51" s="1"/>
    </row>
    <row r="52" spans="1:8" ht="62" customHeight="1">
      <c r="A52" s="6" t="s">
        <v>135</v>
      </c>
      <c r="B52" s="6" t="s">
        <v>136</v>
      </c>
      <c r="C52" s="6" t="s">
        <v>137</v>
      </c>
      <c r="D52" s="6" t="s">
        <v>138</v>
      </c>
      <c r="E52" s="6" t="s">
        <v>139</v>
      </c>
      <c r="F52" s="1"/>
      <c r="G52" s="1"/>
      <c r="H52" s="1"/>
    </row>
    <row r="53" spans="1:8" ht="62" customHeight="1">
      <c r="A53" s="5" t="s">
        <v>140</v>
      </c>
      <c r="B53" s="5" t="s">
        <v>141</v>
      </c>
      <c r="C53" s="5" t="s">
        <v>142</v>
      </c>
      <c r="D53" s="5" t="s">
        <v>143</v>
      </c>
      <c r="E53" s="5" t="s">
        <v>144</v>
      </c>
      <c r="F53" s="1"/>
      <c r="G53" s="1"/>
      <c r="H53" s="1"/>
    </row>
    <row r="54" spans="1:8" ht="62" customHeight="1">
      <c r="A54" s="6" t="s">
        <v>145</v>
      </c>
      <c r="B54" s="6" t="s">
        <v>146</v>
      </c>
      <c r="C54" s="6" t="s">
        <v>147</v>
      </c>
      <c r="D54" s="6" t="s">
        <v>148</v>
      </c>
      <c r="E54" s="6" t="s">
        <v>149</v>
      </c>
      <c r="F54" s="1"/>
      <c r="G54" s="1"/>
      <c r="H54" s="1"/>
    </row>
    <row r="55" spans="1:8" ht="25" customHeight="1">
      <c r="A55" s="1"/>
      <c r="B55" s="1"/>
      <c r="C55" s="1"/>
      <c r="D55" s="1"/>
      <c r="E55" s="1"/>
      <c r="F55" s="1"/>
      <c r="G55" s="1"/>
      <c r="H55" s="1"/>
    </row>
    <row r="56" spans="1:8" ht="25" customHeight="1">
      <c r="A56" s="1"/>
      <c r="B56" s="1"/>
      <c r="C56" s="1"/>
      <c r="D56" s="1"/>
      <c r="E56" s="1"/>
      <c r="F56" s="1"/>
      <c r="G56" s="1"/>
      <c r="H56" s="1"/>
    </row>
    <row r="57" spans="1:8" ht="25" customHeight="1">
      <c r="A57" s="1"/>
      <c r="B57" s="1"/>
      <c r="C57" s="1"/>
      <c r="D57" s="1"/>
      <c r="E57" s="1"/>
      <c r="F57" s="1"/>
      <c r="G57" s="1"/>
      <c r="H57" s="1"/>
    </row>
    <row r="58" spans="1:8" ht="25" customHeight="1">
      <c r="A58" s="1"/>
      <c r="B58" s="1"/>
      <c r="C58" s="1"/>
      <c r="D58" s="1"/>
      <c r="E58" s="1"/>
      <c r="F58" s="1"/>
      <c r="G58" s="1"/>
      <c r="H58" s="1"/>
    </row>
    <row r="59" spans="1:8" ht="25" customHeight="1">
      <c r="A59" s="1"/>
      <c r="B59" s="1"/>
      <c r="C59" s="1"/>
      <c r="D59" s="1"/>
      <c r="E59" s="1"/>
      <c r="F59" s="1"/>
      <c r="G59" s="1"/>
      <c r="H59" s="1"/>
    </row>
    <row r="60" spans="1:8" ht="25" customHeight="1">
      <c r="A60" s="1"/>
      <c r="B60" s="1"/>
      <c r="C60" s="1"/>
      <c r="D60" s="1"/>
      <c r="E60" s="1"/>
      <c r="F60" s="1"/>
      <c r="G60" s="1"/>
      <c r="H60" s="1"/>
    </row>
    <row r="61" spans="1:8" ht="25" customHeight="1">
      <c r="A61" s="1"/>
      <c r="B61" s="1"/>
      <c r="C61" s="1"/>
      <c r="D61" s="1"/>
      <c r="E61" s="1"/>
      <c r="F61" s="1"/>
      <c r="G61" s="1"/>
      <c r="H61" s="1"/>
    </row>
    <row r="62" spans="1:8" ht="25" customHeight="1">
      <c r="A62" s="1"/>
      <c r="B62" s="1"/>
      <c r="C62" s="1"/>
      <c r="D62" s="1"/>
      <c r="E62" s="1"/>
      <c r="F62" s="1"/>
      <c r="G62" s="1"/>
      <c r="H62" s="1"/>
    </row>
    <row r="63" spans="1:8" ht="25" customHeight="1">
      <c r="A63" s="1"/>
      <c r="B63" s="1"/>
      <c r="C63" s="1"/>
      <c r="D63" s="1"/>
      <c r="E63" s="1"/>
      <c r="F63" s="1"/>
      <c r="G63" s="1"/>
      <c r="H63" s="1"/>
    </row>
    <row r="64" spans="1:8" ht="25" customHeight="1">
      <c r="A64" s="1"/>
      <c r="B64" s="1"/>
      <c r="C64" s="1"/>
      <c r="D64" s="1"/>
      <c r="E64" s="1"/>
      <c r="F64" s="1"/>
      <c r="G64" s="1"/>
      <c r="H64" s="1"/>
    </row>
    <row r="65" spans="1:8" ht="25" customHeight="1">
      <c r="A65" s="1"/>
      <c r="B65" s="1"/>
      <c r="C65" s="1"/>
      <c r="D65" s="1"/>
      <c r="E65" s="1"/>
      <c r="F65" s="1"/>
      <c r="G65" s="1"/>
      <c r="H65" s="1"/>
    </row>
    <row r="66" spans="1:8" ht="25" customHeight="1">
      <c r="A66" s="1"/>
      <c r="B66" s="1"/>
      <c r="C66" s="1"/>
      <c r="D66" s="1"/>
      <c r="E66" s="1"/>
      <c r="F66" s="1"/>
      <c r="G66" s="1"/>
      <c r="H66" s="1"/>
    </row>
    <row r="67" spans="1:8" ht="25" customHeight="1">
      <c r="A67" s="1"/>
      <c r="B67" s="1"/>
      <c r="C67" s="1"/>
      <c r="D67" s="1"/>
      <c r="E67" s="1"/>
      <c r="F67" s="1"/>
      <c r="G67" s="1"/>
      <c r="H67" s="1"/>
    </row>
    <row r="68" spans="1:8" ht="25" customHeight="1">
      <c r="A68" s="1"/>
      <c r="B68" s="1"/>
      <c r="C68" s="1"/>
      <c r="D68" s="1"/>
      <c r="E68" s="1"/>
      <c r="F68" s="1"/>
      <c r="G68" s="1"/>
      <c r="H68" s="1"/>
    </row>
    <row r="69" spans="1:8" ht="25" customHeight="1">
      <c r="A69" s="1"/>
      <c r="B69" s="1"/>
      <c r="C69" s="1"/>
      <c r="D69" s="1"/>
      <c r="E69" s="1"/>
      <c r="F69" s="1"/>
      <c r="G69" s="1"/>
      <c r="H69" s="1"/>
    </row>
    <row r="70" spans="1:8" ht="25" customHeight="1">
      <c r="A70" s="1"/>
      <c r="B70" s="1"/>
      <c r="C70" s="1"/>
      <c r="D70" s="1"/>
      <c r="E70" s="1"/>
      <c r="F70" s="1"/>
      <c r="G70" s="1"/>
      <c r="H70" s="1"/>
    </row>
    <row r="71" spans="1:8" ht="25" customHeight="1">
      <c r="A71" s="1"/>
      <c r="B71" s="1"/>
      <c r="C71" s="1"/>
      <c r="D71" s="1"/>
      <c r="E71" s="1"/>
      <c r="F71" s="1"/>
      <c r="G71" s="1"/>
      <c r="H71" s="1"/>
    </row>
    <row r="72" spans="1:8" ht="25" customHeight="1">
      <c r="A72" s="1"/>
      <c r="B72" s="1"/>
      <c r="C72" s="1"/>
      <c r="D72" s="1"/>
      <c r="E72" s="1"/>
      <c r="F72" s="1"/>
      <c r="G72" s="1"/>
      <c r="H72" s="1"/>
    </row>
    <row r="73" spans="1:8" ht="25" customHeight="1">
      <c r="A73" s="1"/>
      <c r="B73" s="1"/>
      <c r="C73" s="1"/>
      <c r="D73" s="1"/>
      <c r="E73" s="1"/>
      <c r="F73" s="1"/>
      <c r="G73" s="1"/>
      <c r="H73" s="1"/>
    </row>
    <row r="74" spans="1:8" ht="25" customHeight="1">
      <c r="A74" s="1"/>
      <c r="B74" s="1"/>
      <c r="C74" s="1"/>
      <c r="D74" s="1"/>
      <c r="E74" s="1"/>
      <c r="F74" s="1"/>
      <c r="G74" s="1"/>
      <c r="H74" s="1"/>
    </row>
    <row r="75" spans="1:8" ht="25" customHeight="1">
      <c r="A75" s="1"/>
      <c r="B75" s="1"/>
      <c r="C75" s="1"/>
      <c r="D75" s="1"/>
      <c r="E75" s="1"/>
      <c r="F75" s="1"/>
      <c r="G75" s="1"/>
      <c r="H75" s="1"/>
    </row>
    <row r="76" spans="1:8" ht="25" customHeight="1">
      <c r="A76" s="1"/>
      <c r="B76" s="1"/>
      <c r="C76" s="1"/>
      <c r="D76" s="1"/>
      <c r="E76" s="1"/>
      <c r="F76" s="1"/>
      <c r="G76" s="1"/>
      <c r="H76" s="1"/>
    </row>
    <row r="77" spans="1:8" ht="25" customHeight="1">
      <c r="A77" s="1"/>
      <c r="B77" s="1"/>
      <c r="C77" s="1"/>
      <c r="D77" s="1"/>
      <c r="E77" s="1"/>
      <c r="F77" s="1"/>
      <c r="G77" s="1"/>
      <c r="H77" s="1"/>
    </row>
    <row r="78" spans="1:8" ht="25" customHeight="1">
      <c r="A78" s="1"/>
      <c r="B78" s="1"/>
      <c r="C78" s="1"/>
      <c r="D78" s="1"/>
      <c r="E78" s="1"/>
      <c r="F78" s="1"/>
      <c r="G78" s="1"/>
      <c r="H78" s="1"/>
    </row>
    <row r="79" spans="1:8" ht="25" customHeight="1">
      <c r="A79" s="1"/>
      <c r="B79" s="1"/>
      <c r="C79" s="1"/>
      <c r="D79" s="1"/>
      <c r="E79" s="1"/>
      <c r="F79" s="1"/>
      <c r="G79" s="1"/>
      <c r="H79" s="1"/>
    </row>
    <row r="80" spans="1:8" ht="25" customHeight="1">
      <c r="A80" s="1"/>
      <c r="B80" s="1"/>
      <c r="C80" s="1"/>
      <c r="D80" s="1"/>
      <c r="E80" s="1"/>
      <c r="F80" s="1"/>
      <c r="G80" s="1"/>
      <c r="H80" s="1"/>
    </row>
  </sheetData>
  <phoneticPr fontId="9" type="noConversion"/>
  <pageMargins left="0.7" right="0.7" top="0.75" bottom="0.75" header="0.511811023622047" footer="0.511811023622047"/>
  <pageSetup paperSize="9" orientation="portrait" horizontalDpi="300" verticalDpi="300"/>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56DB3"/>
  </sheetPr>
  <dimension ref="A1:V144"/>
  <sheetViews>
    <sheetView showGridLines="0" zoomScaleNormal="100" workbookViewId="0"/>
  </sheetViews>
  <sheetFormatPr defaultColWidth="8.6328125" defaultRowHeight="12.5"/>
  <cols>
    <col min="1" max="3" width="11" customWidth="1"/>
    <col min="4" max="4" width="32" customWidth="1"/>
    <col min="5" max="22" width="11" customWidth="1"/>
  </cols>
  <sheetData>
    <row r="1" spans="1:22" ht="25" customHeight="1">
      <c r="A1" s="1"/>
      <c r="B1" s="1"/>
      <c r="C1" s="1"/>
      <c r="D1" s="1"/>
      <c r="E1" s="1"/>
      <c r="F1" s="1"/>
      <c r="G1" s="1"/>
      <c r="H1" s="1"/>
      <c r="I1" s="1"/>
      <c r="J1" s="1"/>
      <c r="K1" s="1"/>
      <c r="L1" s="1"/>
      <c r="M1" s="1"/>
      <c r="N1" s="1"/>
      <c r="O1" s="1"/>
      <c r="P1" s="1"/>
      <c r="Q1" s="1"/>
      <c r="R1" s="1"/>
      <c r="S1" s="1"/>
      <c r="T1" s="1"/>
      <c r="U1" s="1"/>
      <c r="V1" s="1"/>
    </row>
    <row r="2" spans="1:22" ht="25" customHeight="1">
      <c r="A2" s="2" t="s">
        <v>150</v>
      </c>
      <c r="B2" s="1"/>
      <c r="C2" s="1"/>
      <c r="D2" s="1"/>
      <c r="E2" s="1"/>
      <c r="F2" s="1"/>
      <c r="G2" s="1"/>
      <c r="H2" s="1"/>
      <c r="I2" s="1"/>
      <c r="J2" s="1"/>
      <c r="K2" s="1"/>
      <c r="L2" s="1"/>
      <c r="M2" s="1"/>
      <c r="N2" s="1"/>
      <c r="O2" s="1"/>
      <c r="P2" s="1"/>
      <c r="Q2" s="1"/>
      <c r="R2" s="1"/>
      <c r="S2" s="1"/>
      <c r="T2" s="1"/>
      <c r="U2" s="1"/>
      <c r="V2" s="1"/>
    </row>
    <row r="3" spans="1:22" ht="25" customHeight="1">
      <c r="A3" s="3" t="s">
        <v>151</v>
      </c>
      <c r="B3" s="1"/>
      <c r="C3" s="1"/>
      <c r="D3" s="1"/>
      <c r="E3" s="1"/>
      <c r="F3" s="1"/>
      <c r="G3" s="1"/>
      <c r="H3" s="1"/>
      <c r="I3" s="1"/>
      <c r="J3" s="1"/>
      <c r="K3" s="1"/>
      <c r="L3" s="1"/>
      <c r="M3" s="1"/>
      <c r="N3" s="1"/>
      <c r="O3" s="1"/>
      <c r="P3" s="1"/>
      <c r="Q3" s="1"/>
      <c r="R3" s="1"/>
      <c r="S3" s="1"/>
      <c r="T3" s="1"/>
      <c r="U3" s="1"/>
      <c r="V3" s="1"/>
    </row>
    <row r="4" spans="1:22" ht="25" customHeight="1">
      <c r="A4" s="1"/>
      <c r="B4" s="1"/>
      <c r="C4" s="1"/>
      <c r="D4" s="1"/>
      <c r="E4" s="1"/>
      <c r="F4" s="1"/>
      <c r="G4" s="1"/>
      <c r="H4" s="1"/>
      <c r="I4" s="1"/>
      <c r="J4" s="1"/>
      <c r="K4" s="1"/>
      <c r="L4" s="1"/>
      <c r="M4" s="1"/>
      <c r="N4" s="1"/>
      <c r="O4" s="1"/>
      <c r="P4" s="1"/>
      <c r="Q4" s="1"/>
      <c r="R4" s="1"/>
      <c r="S4" s="1"/>
      <c r="T4" s="1"/>
      <c r="U4" s="1"/>
      <c r="V4" s="1"/>
    </row>
    <row r="5" spans="1:22" ht="25" customHeight="1">
      <c r="A5" s="7" t="s">
        <v>152</v>
      </c>
      <c r="B5" s="1"/>
      <c r="C5" s="1"/>
      <c r="D5" s="1"/>
      <c r="E5" s="1"/>
      <c r="F5" s="1"/>
      <c r="G5" s="1"/>
      <c r="H5" s="1"/>
      <c r="I5" s="1"/>
      <c r="J5" s="1"/>
      <c r="K5" s="1"/>
      <c r="L5" s="1"/>
      <c r="M5" s="1"/>
      <c r="N5" s="1"/>
      <c r="O5" s="1"/>
      <c r="P5" s="1"/>
      <c r="Q5" s="1"/>
      <c r="R5" s="1"/>
      <c r="S5" s="1"/>
      <c r="T5" s="1"/>
      <c r="U5" s="1"/>
      <c r="V5" s="1"/>
    </row>
    <row r="6" spans="1:22" ht="25" customHeight="1">
      <c r="A6" s="1" t="s">
        <v>153</v>
      </c>
      <c r="B6" s="1"/>
      <c r="C6" s="1"/>
      <c r="D6" s="1"/>
      <c r="E6" s="1"/>
      <c r="F6" s="1"/>
      <c r="G6" s="1"/>
      <c r="H6" s="1"/>
      <c r="I6" s="1"/>
      <c r="J6" s="1"/>
      <c r="K6" s="1"/>
      <c r="L6" s="1"/>
      <c r="M6" s="1"/>
      <c r="N6" s="1"/>
      <c r="O6" s="1"/>
      <c r="P6" s="1"/>
      <c r="Q6" s="1"/>
      <c r="R6" s="1"/>
      <c r="S6" s="1"/>
      <c r="T6" s="1"/>
      <c r="U6" s="1"/>
      <c r="V6" s="1"/>
    </row>
    <row r="7" spans="1:22" ht="25" customHeight="1">
      <c r="A7" s="1"/>
      <c r="B7" s="1"/>
      <c r="C7" s="1"/>
      <c r="D7" s="1"/>
      <c r="E7" s="1"/>
      <c r="F7" s="1"/>
      <c r="G7" s="1"/>
      <c r="H7" s="1"/>
      <c r="I7" s="1"/>
      <c r="J7" s="1"/>
      <c r="K7" s="1"/>
      <c r="L7" s="1"/>
      <c r="M7" s="1"/>
      <c r="N7" s="1"/>
      <c r="O7" s="1"/>
      <c r="P7" s="1"/>
      <c r="Q7" s="1"/>
      <c r="R7" s="1"/>
      <c r="S7" s="1"/>
      <c r="T7" s="1"/>
      <c r="U7" s="1"/>
      <c r="V7" s="1"/>
    </row>
    <row r="8" spans="1:22" ht="25" customHeight="1">
      <c r="A8" s="1"/>
      <c r="B8" s="1"/>
      <c r="C8" s="1"/>
      <c r="D8" s="1"/>
      <c r="E8" s="1"/>
      <c r="F8" s="1"/>
      <c r="G8" s="1"/>
      <c r="H8" s="1"/>
      <c r="I8" s="1"/>
      <c r="J8" s="1"/>
      <c r="K8" s="1"/>
      <c r="L8" s="1"/>
      <c r="M8" s="1"/>
      <c r="N8" s="1"/>
      <c r="O8" s="1"/>
      <c r="P8" s="1"/>
      <c r="Q8" s="1"/>
      <c r="R8" s="1"/>
      <c r="S8" s="1"/>
      <c r="T8" s="1"/>
      <c r="U8" s="1"/>
      <c r="V8" s="1"/>
    </row>
    <row r="9" spans="1:22" ht="25" customHeight="1">
      <c r="A9" s="1"/>
      <c r="B9" s="1"/>
      <c r="C9" s="1"/>
      <c r="D9" s="1"/>
      <c r="E9" s="1"/>
      <c r="F9" s="1"/>
      <c r="G9" s="1"/>
      <c r="H9" s="1"/>
      <c r="I9" s="1"/>
      <c r="J9" s="1"/>
      <c r="K9" s="1"/>
      <c r="L9" s="1"/>
      <c r="M9" s="1"/>
      <c r="N9" s="1"/>
      <c r="O9" s="1"/>
      <c r="P9" s="1"/>
      <c r="Q9" s="1"/>
      <c r="R9" s="1"/>
      <c r="S9" s="1"/>
      <c r="T9" s="1"/>
      <c r="U9" s="1"/>
      <c r="V9" s="1"/>
    </row>
    <row r="10" spans="1:22" ht="25" customHeight="1">
      <c r="A10" s="1"/>
      <c r="B10" s="1"/>
      <c r="C10" s="1"/>
      <c r="D10" s="1"/>
      <c r="E10" s="1"/>
      <c r="F10" s="1"/>
      <c r="G10" s="1"/>
      <c r="H10" s="1"/>
      <c r="I10" s="1"/>
      <c r="J10" s="1"/>
      <c r="K10" s="1"/>
      <c r="L10" s="1"/>
      <c r="M10" s="1"/>
      <c r="N10" s="1"/>
      <c r="O10" s="1"/>
      <c r="P10" s="1"/>
      <c r="Q10" s="1"/>
      <c r="R10" s="1"/>
      <c r="S10" s="1"/>
      <c r="T10" s="1"/>
      <c r="U10" s="1"/>
      <c r="V10" s="1"/>
    </row>
    <row r="11" spans="1:22" ht="25" customHeight="1">
      <c r="A11" s="1"/>
      <c r="B11" s="1"/>
      <c r="C11" s="1"/>
      <c r="D11" s="1"/>
      <c r="E11" s="1"/>
      <c r="F11" s="1"/>
      <c r="G11" s="1"/>
      <c r="H11" s="1"/>
      <c r="I11" s="1"/>
      <c r="J11" s="1"/>
      <c r="K11" s="1"/>
      <c r="L11" s="1"/>
      <c r="M11" s="1"/>
      <c r="N11" s="1"/>
      <c r="O11" s="1"/>
      <c r="P11" s="1"/>
      <c r="Q11" s="1"/>
      <c r="R11" s="1"/>
      <c r="S11" s="1"/>
      <c r="T11" s="1"/>
      <c r="U11" s="1"/>
      <c r="V11" s="1"/>
    </row>
    <row r="12" spans="1:22" ht="25" customHeight="1">
      <c r="A12" s="1"/>
      <c r="B12" s="1"/>
      <c r="C12" s="1"/>
      <c r="D12" s="1"/>
      <c r="E12" s="1"/>
      <c r="F12" s="1"/>
      <c r="G12" s="1"/>
      <c r="H12" s="1"/>
      <c r="I12" s="1"/>
      <c r="J12" s="1"/>
      <c r="K12" s="1"/>
      <c r="L12" s="1"/>
      <c r="M12" s="1"/>
      <c r="N12" s="1"/>
      <c r="O12" s="1"/>
      <c r="P12" s="1"/>
      <c r="Q12" s="1"/>
      <c r="R12" s="1"/>
      <c r="S12" s="1"/>
      <c r="T12" s="1"/>
      <c r="U12" s="1"/>
      <c r="V12" s="1"/>
    </row>
    <row r="13" spans="1:22" ht="25" customHeight="1">
      <c r="A13" s="1"/>
      <c r="B13" s="1"/>
      <c r="C13" s="1"/>
      <c r="D13" s="1"/>
      <c r="E13" s="1"/>
      <c r="F13" s="1"/>
      <c r="G13" s="1"/>
      <c r="H13" s="1"/>
      <c r="I13" s="1"/>
      <c r="J13" s="1"/>
      <c r="K13" s="1"/>
      <c r="L13" s="1"/>
      <c r="M13" s="1"/>
      <c r="N13" s="1"/>
      <c r="O13" s="1"/>
      <c r="P13" s="1"/>
      <c r="Q13" s="1"/>
      <c r="R13" s="1"/>
      <c r="S13" s="1"/>
      <c r="T13" s="1"/>
      <c r="U13" s="1"/>
      <c r="V13" s="1"/>
    </row>
    <row r="14" spans="1:22" ht="25" customHeight="1">
      <c r="A14" s="1"/>
      <c r="B14" s="1"/>
      <c r="C14" s="1"/>
      <c r="D14" s="1"/>
      <c r="E14" s="1"/>
      <c r="F14" s="1"/>
      <c r="G14" s="1"/>
      <c r="H14" s="1"/>
      <c r="I14" s="1"/>
      <c r="J14" s="1"/>
      <c r="K14" s="1"/>
      <c r="L14" s="1"/>
      <c r="M14" s="1"/>
      <c r="N14" s="1"/>
      <c r="O14" s="1"/>
      <c r="P14" s="1"/>
      <c r="Q14" s="1"/>
      <c r="R14" s="1"/>
      <c r="S14" s="1"/>
      <c r="T14" s="1"/>
      <c r="U14" s="1"/>
      <c r="V14" s="1"/>
    </row>
    <row r="15" spans="1:22" ht="25" customHeight="1">
      <c r="A15" s="1"/>
      <c r="B15" s="1"/>
      <c r="C15" s="1"/>
      <c r="D15" s="1"/>
      <c r="E15" s="1"/>
      <c r="F15" s="1"/>
      <c r="G15" s="1"/>
      <c r="H15" s="1"/>
      <c r="I15" s="1"/>
      <c r="J15" s="1"/>
      <c r="K15" s="1"/>
      <c r="L15" s="1"/>
      <c r="M15" s="1"/>
      <c r="N15" s="1"/>
      <c r="O15" s="1"/>
      <c r="P15" s="1"/>
      <c r="Q15" s="1"/>
      <c r="R15" s="1"/>
      <c r="S15" s="1"/>
      <c r="T15" s="1"/>
      <c r="U15" s="1"/>
      <c r="V15" s="1"/>
    </row>
    <row r="16" spans="1:22" ht="25" customHeight="1">
      <c r="A16" s="1"/>
      <c r="B16" s="1"/>
      <c r="C16" s="1"/>
      <c r="D16" s="1"/>
      <c r="E16" s="1"/>
      <c r="F16" s="1"/>
      <c r="G16" s="1"/>
      <c r="H16" s="1"/>
      <c r="I16" s="1"/>
      <c r="J16" s="1"/>
      <c r="K16" s="1"/>
      <c r="L16" s="1"/>
      <c r="M16" s="1"/>
      <c r="N16" s="1"/>
      <c r="O16" s="1"/>
      <c r="P16" s="1"/>
      <c r="Q16" s="1"/>
      <c r="R16" s="1"/>
      <c r="S16" s="1"/>
      <c r="T16" s="1"/>
      <c r="U16" s="1"/>
      <c r="V16" s="1"/>
    </row>
    <row r="17" spans="1:22" ht="25" customHeight="1">
      <c r="A17" s="1"/>
      <c r="B17" s="1"/>
      <c r="C17" s="1"/>
      <c r="D17" s="1"/>
      <c r="E17" s="1"/>
      <c r="F17" s="1"/>
      <c r="G17" s="1"/>
      <c r="H17" s="1"/>
      <c r="I17" s="1"/>
      <c r="J17" s="1"/>
      <c r="K17" s="1"/>
      <c r="L17" s="1"/>
      <c r="M17" s="1"/>
      <c r="N17" s="1"/>
      <c r="O17" s="1"/>
      <c r="P17" s="1"/>
      <c r="Q17" s="1"/>
      <c r="R17" s="1"/>
      <c r="S17" s="1"/>
      <c r="T17" s="1"/>
      <c r="U17" s="1"/>
      <c r="V17" s="1"/>
    </row>
    <row r="18" spans="1:22" ht="25" customHeight="1">
      <c r="A18" s="1"/>
      <c r="B18" s="1"/>
      <c r="C18" s="1"/>
      <c r="D18" s="1"/>
      <c r="E18" s="1"/>
      <c r="F18" s="1"/>
      <c r="G18" s="1"/>
      <c r="H18" s="1"/>
      <c r="I18" s="1"/>
      <c r="J18" s="1"/>
      <c r="K18" s="1"/>
      <c r="L18" s="1"/>
      <c r="M18" s="1"/>
      <c r="N18" s="1"/>
      <c r="O18" s="1"/>
      <c r="P18" s="1"/>
      <c r="Q18" s="1"/>
      <c r="R18" s="1"/>
      <c r="S18" s="1"/>
      <c r="T18" s="1"/>
      <c r="U18" s="1"/>
      <c r="V18" s="1"/>
    </row>
    <row r="19" spans="1:22" ht="25" customHeight="1">
      <c r="A19" s="1"/>
      <c r="B19" s="1"/>
      <c r="C19" s="1"/>
      <c r="D19" s="1"/>
      <c r="E19" s="1"/>
      <c r="F19" s="1"/>
      <c r="G19" s="1"/>
      <c r="H19" s="1"/>
      <c r="I19" s="1"/>
      <c r="J19" s="1"/>
      <c r="K19" s="1"/>
      <c r="L19" s="1"/>
      <c r="M19" s="1"/>
      <c r="N19" s="1"/>
      <c r="O19" s="1"/>
      <c r="P19" s="1"/>
      <c r="Q19" s="1"/>
      <c r="R19" s="1"/>
      <c r="S19" s="1"/>
      <c r="T19" s="1"/>
      <c r="U19" s="1"/>
      <c r="V19" s="1"/>
    </row>
    <row r="20" spans="1:22" ht="25" customHeight="1">
      <c r="A20" s="1"/>
      <c r="B20" s="1"/>
      <c r="C20" s="1"/>
      <c r="D20" s="1"/>
      <c r="E20" s="1"/>
      <c r="F20" s="1"/>
      <c r="G20" s="1"/>
      <c r="H20" s="1"/>
      <c r="I20" s="1"/>
      <c r="J20" s="1"/>
      <c r="K20" s="1"/>
      <c r="L20" s="1"/>
      <c r="M20" s="1"/>
      <c r="N20" s="1"/>
      <c r="O20" s="1"/>
      <c r="P20" s="1"/>
      <c r="Q20" s="1"/>
      <c r="R20" s="1"/>
      <c r="S20" s="1"/>
      <c r="T20" s="1"/>
      <c r="U20" s="1"/>
      <c r="V20" s="1"/>
    </row>
    <row r="21" spans="1:22" ht="25" customHeight="1">
      <c r="A21" s="1"/>
      <c r="B21" s="1"/>
      <c r="C21" s="1"/>
      <c r="D21" s="1"/>
      <c r="E21" s="1"/>
      <c r="F21" s="1"/>
      <c r="G21" s="1"/>
      <c r="H21" s="1"/>
      <c r="I21" s="1"/>
      <c r="J21" s="1"/>
      <c r="K21" s="1"/>
      <c r="L21" s="1"/>
      <c r="M21" s="1"/>
      <c r="N21" s="1"/>
      <c r="O21" s="1"/>
      <c r="P21" s="1"/>
      <c r="Q21" s="1"/>
      <c r="R21" s="1"/>
      <c r="S21" s="1"/>
      <c r="T21" s="1"/>
      <c r="U21" s="1"/>
      <c r="V21" s="1"/>
    </row>
    <row r="22" spans="1:22" ht="25" customHeight="1">
      <c r="A22" s="1"/>
      <c r="B22" s="1"/>
      <c r="C22" s="1"/>
      <c r="D22" s="1"/>
      <c r="E22" s="1"/>
      <c r="F22" s="1"/>
      <c r="G22" s="1"/>
      <c r="H22" s="1"/>
      <c r="I22" s="1"/>
      <c r="J22" s="1"/>
      <c r="K22" s="1"/>
      <c r="L22" s="1"/>
      <c r="M22" s="1"/>
      <c r="N22" s="1"/>
      <c r="O22" s="1"/>
      <c r="P22" s="1"/>
      <c r="Q22" s="1"/>
      <c r="R22" s="1"/>
      <c r="S22" s="1"/>
      <c r="T22" s="1"/>
      <c r="U22" s="1"/>
      <c r="V22" s="1"/>
    </row>
    <row r="23" spans="1:22" ht="25" customHeight="1">
      <c r="A23" s="1"/>
      <c r="B23" s="1"/>
      <c r="C23" s="1"/>
      <c r="D23" s="1"/>
      <c r="E23" s="1"/>
      <c r="F23" s="1"/>
      <c r="G23" s="1"/>
      <c r="H23" s="1"/>
      <c r="I23" s="1"/>
      <c r="J23" s="1"/>
      <c r="K23" s="1"/>
      <c r="L23" s="1"/>
      <c r="M23" s="1"/>
      <c r="N23" s="1"/>
      <c r="O23" s="1"/>
      <c r="P23" s="1"/>
      <c r="Q23" s="1"/>
      <c r="R23" s="1"/>
      <c r="S23" s="1"/>
      <c r="T23" s="1"/>
      <c r="U23" s="1"/>
      <c r="V23" s="1"/>
    </row>
    <row r="24" spans="1:22" ht="25" customHeight="1">
      <c r="A24" s="1"/>
      <c r="B24" s="1"/>
      <c r="C24" s="1"/>
      <c r="D24" s="1"/>
      <c r="E24" s="1"/>
      <c r="F24" s="1"/>
      <c r="G24" s="1"/>
      <c r="H24" s="1"/>
      <c r="I24" s="1"/>
      <c r="J24" s="1"/>
      <c r="K24" s="1"/>
      <c r="L24" s="1"/>
      <c r="M24" s="1"/>
      <c r="N24" s="1"/>
      <c r="O24" s="1"/>
      <c r="P24" s="1"/>
      <c r="Q24" s="1"/>
      <c r="R24" s="1"/>
      <c r="S24" s="1"/>
      <c r="T24" s="1"/>
      <c r="U24" s="1"/>
      <c r="V24" s="1"/>
    </row>
    <row r="25" spans="1:22" ht="25" customHeight="1">
      <c r="A25" s="1"/>
      <c r="B25" s="1"/>
      <c r="C25" s="1"/>
      <c r="D25" s="1"/>
      <c r="E25" s="1"/>
      <c r="F25" s="1"/>
      <c r="G25" s="1"/>
      <c r="H25" s="1"/>
      <c r="I25" s="1"/>
      <c r="J25" s="1"/>
      <c r="K25" s="1"/>
      <c r="L25" s="1"/>
      <c r="M25" s="1"/>
      <c r="N25" s="1"/>
      <c r="O25" s="1"/>
      <c r="P25" s="1"/>
      <c r="Q25" s="1"/>
      <c r="R25" s="1"/>
      <c r="S25" s="1"/>
      <c r="T25" s="1"/>
      <c r="U25" s="1"/>
      <c r="V25" s="1"/>
    </row>
    <row r="26" spans="1:22" ht="25" customHeight="1">
      <c r="A26" s="1"/>
      <c r="B26" s="1"/>
      <c r="C26" s="1"/>
      <c r="D26" s="1"/>
      <c r="E26" s="1"/>
      <c r="F26" s="1"/>
      <c r="G26" s="1"/>
      <c r="H26" s="1"/>
      <c r="I26" s="1"/>
      <c r="J26" s="1"/>
      <c r="K26" s="1"/>
      <c r="L26" s="1"/>
      <c r="M26" s="1"/>
      <c r="N26" s="1"/>
      <c r="O26" s="1"/>
      <c r="P26" s="1"/>
      <c r="Q26" s="1"/>
      <c r="R26" s="1"/>
      <c r="S26" s="1"/>
      <c r="T26" s="1"/>
      <c r="U26" s="1"/>
      <c r="V26" s="1"/>
    </row>
    <row r="27" spans="1:22" ht="32" customHeight="1">
      <c r="A27" s="8" t="s">
        <v>2</v>
      </c>
      <c r="B27" s="8" t="s">
        <v>154</v>
      </c>
      <c r="C27" s="8" t="s">
        <v>155</v>
      </c>
      <c r="D27" s="8" t="s">
        <v>156</v>
      </c>
      <c r="E27" s="8" t="s">
        <v>157</v>
      </c>
      <c r="F27" s="8" t="s">
        <v>158</v>
      </c>
      <c r="G27" s="1"/>
      <c r="H27" s="1"/>
      <c r="I27" s="1"/>
      <c r="J27" s="1"/>
      <c r="K27" s="1"/>
      <c r="L27" s="1"/>
      <c r="M27" s="1"/>
      <c r="N27" s="9" t="s">
        <v>159</v>
      </c>
      <c r="O27" s="9" t="s">
        <v>154</v>
      </c>
      <c r="P27" s="9" t="s">
        <v>155</v>
      </c>
      <c r="Q27" s="9" t="s">
        <v>156</v>
      </c>
      <c r="R27" s="9" t="s">
        <v>160</v>
      </c>
      <c r="S27" s="9" t="s">
        <v>158</v>
      </c>
      <c r="T27" s="1"/>
      <c r="U27" s="1"/>
      <c r="V27" s="1"/>
    </row>
    <row r="28" spans="1:22" ht="27" customHeight="1">
      <c r="A28" s="1" t="str">
        <f t="shared" ref="A28:A34" si="0">INDEX(N$28:N$34,MATCH(E28,$R$28:$R$34,0))</f>
        <v>姑苏区</v>
      </c>
      <c r="B28" s="10" t="str">
        <f t="shared" ref="B28:B34" si="1">INDEX(O$28:O$34,MATCH(E28,$R$28:$R$34,0))</f>
        <v/>
      </c>
      <c r="C28" s="10">
        <f t="shared" ref="C28:C34" si="2">INDEX(P$28:P$34,MATCH(E28,$R$28:$R$34,0))</f>
        <v>100</v>
      </c>
      <c r="D28" s="1" t="str">
        <f t="shared" ref="D28:D34" si="3">INDEX(Q$28:Q$34,MATCH(E28,$R$28:$R$34,0))</f>
        <v>最高100</v>
      </c>
      <c r="E28" s="1">
        <v>1</v>
      </c>
      <c r="F28" s="1">
        <f t="shared" ref="F28:F34" si="4">INDEX(S$28:S$34,MATCH(E28,$R$28:$R$34,0))</f>
        <v>2</v>
      </c>
      <c r="G28" s="1"/>
      <c r="H28" s="1"/>
      <c r="I28" s="1"/>
      <c r="J28" s="1"/>
      <c r="K28" s="1"/>
      <c r="L28" s="1"/>
      <c r="M28" s="1"/>
      <c r="N28" s="1" t="s">
        <v>161</v>
      </c>
      <c r="O28" s="1">
        <f>IF(ISNUMBER(政策金额数据!E6),政策金额数据!E6,"")</f>
        <v>100</v>
      </c>
      <c r="P28" s="1">
        <f>IF(ISNUMBER(政策金额数据!F6),政策金额数据!F6,"")</f>
        <v>300</v>
      </c>
      <c r="Q28" s="1" t="str">
        <f>政策金额数据!G6</f>
        <v>100—300</v>
      </c>
      <c r="R28" s="1">
        <f>COUNTIFS($P$28:$P$34,"&lt;"&amp;P28)+COUNTIFS($P$28:P28,P28)</f>
        <v>3</v>
      </c>
      <c r="S28" s="1">
        <v>1</v>
      </c>
      <c r="T28" s="1"/>
      <c r="U28" s="1"/>
      <c r="V28" s="1"/>
    </row>
    <row r="29" spans="1:22" ht="27" customHeight="1">
      <c r="A29" s="1" t="str">
        <f t="shared" si="0"/>
        <v>相城</v>
      </c>
      <c r="B29" s="10">
        <f t="shared" si="1"/>
        <v>50</v>
      </c>
      <c r="C29" s="10">
        <f t="shared" si="2"/>
        <v>100</v>
      </c>
      <c r="D29" s="1" t="str">
        <f t="shared" si="3"/>
        <v>50 / 100</v>
      </c>
      <c r="E29" s="1">
        <v>2</v>
      </c>
      <c r="F29" s="1">
        <f t="shared" si="4"/>
        <v>8</v>
      </c>
      <c r="G29" s="1"/>
      <c r="H29" s="1"/>
      <c r="I29" s="1"/>
      <c r="J29" s="1"/>
      <c r="K29" s="1"/>
      <c r="L29" s="1"/>
      <c r="M29" s="1"/>
      <c r="N29" s="1" t="s">
        <v>162</v>
      </c>
      <c r="O29" s="1" t="str">
        <f>IF(ISNUMBER(政策金额数据!E7),政策金额数据!E7,"")</f>
        <v/>
      </c>
      <c r="P29" s="1">
        <f>IF(ISNUMBER(政策金额数据!F7),政策金额数据!F7,"")</f>
        <v>100</v>
      </c>
      <c r="Q29" s="1" t="str">
        <f>政策金额数据!G7</f>
        <v>最高100</v>
      </c>
      <c r="R29" s="1">
        <f>COUNTIFS($P$28:$P$34,"&lt;"&amp;P29)+COUNTIFS($P$28:P29,P29)</f>
        <v>1</v>
      </c>
      <c r="S29" s="1">
        <v>2</v>
      </c>
      <c r="T29" s="1"/>
      <c r="U29" s="1"/>
      <c r="V29" s="1"/>
    </row>
    <row r="30" spans="1:22" ht="27" customHeight="1">
      <c r="A30" s="1" t="str">
        <f t="shared" si="0"/>
        <v>吴中</v>
      </c>
      <c r="B30" s="10">
        <f t="shared" si="1"/>
        <v>100</v>
      </c>
      <c r="C30" s="10">
        <f t="shared" si="2"/>
        <v>300</v>
      </c>
      <c r="D30" s="1" t="str">
        <f t="shared" si="3"/>
        <v>100—300</v>
      </c>
      <c r="E30" s="1">
        <v>3</v>
      </c>
      <c r="F30" s="1">
        <f t="shared" si="4"/>
        <v>1</v>
      </c>
      <c r="G30" s="1"/>
      <c r="H30" s="1"/>
      <c r="I30" s="1"/>
      <c r="J30" s="1"/>
      <c r="K30" s="1"/>
      <c r="L30" s="1"/>
      <c r="M30" s="1"/>
      <c r="N30" s="1" t="s">
        <v>21</v>
      </c>
      <c r="O30" s="1">
        <f>IF(ISNUMBER(政策金额数据!E9),政策金额数据!E9,"")</f>
        <v>100</v>
      </c>
      <c r="P30" s="1">
        <f>IF(ISNUMBER(政策金额数据!F9),政策金额数据!F9,"")</f>
        <v>400</v>
      </c>
      <c r="Q30" s="1" t="str">
        <f>政策金额数据!G9</f>
        <v>100 / 200 / 300 / 400</v>
      </c>
      <c r="R30" s="1">
        <f>COUNTIFS($P$28:$P$34,"&lt;"&amp;P30)+COUNTIFS($P$28:P30,P30)</f>
        <v>7</v>
      </c>
      <c r="S30" s="1">
        <v>4</v>
      </c>
      <c r="T30" s="1"/>
      <c r="U30" s="1"/>
      <c r="V30" s="1"/>
    </row>
    <row r="31" spans="1:22" ht="27" customHeight="1">
      <c r="A31" s="1" t="str">
        <f t="shared" si="0"/>
        <v>园区</v>
      </c>
      <c r="B31" s="10">
        <f t="shared" si="1"/>
        <v>100</v>
      </c>
      <c r="C31" s="10">
        <f t="shared" si="2"/>
        <v>300</v>
      </c>
      <c r="D31" s="1" t="str">
        <f t="shared" si="3"/>
        <v>100或300（非连续档）</v>
      </c>
      <c r="E31" s="1">
        <v>4</v>
      </c>
      <c r="F31" s="1">
        <f t="shared" si="4"/>
        <v>5</v>
      </c>
      <c r="G31" s="1"/>
      <c r="H31" s="1"/>
      <c r="I31" s="1"/>
      <c r="J31" s="1"/>
      <c r="K31" s="1"/>
      <c r="L31" s="1"/>
      <c r="M31" s="1"/>
      <c r="N31" s="1" t="s">
        <v>163</v>
      </c>
      <c r="O31" s="1">
        <f>IF(ISNUMBER(政策金额数据!E10),政策金额数据!E10,"")</f>
        <v>100</v>
      </c>
      <c r="P31" s="1">
        <f>IF(ISNUMBER(政策金额数据!F10),政策金额数据!F10,"")</f>
        <v>300</v>
      </c>
      <c r="Q31" s="1" t="str">
        <f>政策金额数据!G10</f>
        <v>100或300（非连续档）</v>
      </c>
      <c r="R31" s="1">
        <f>COUNTIFS($P$28:$P$34,"&lt;"&amp;P31)+COUNTIFS($P$28:P31,P31)</f>
        <v>4</v>
      </c>
      <c r="S31" s="1">
        <v>5</v>
      </c>
      <c r="T31" s="1"/>
      <c r="U31" s="1"/>
      <c r="V31" s="1"/>
    </row>
    <row r="32" spans="1:22" ht="27" customHeight="1">
      <c r="A32" s="1" t="str">
        <f t="shared" si="0"/>
        <v>高新区</v>
      </c>
      <c r="B32" s="10">
        <f t="shared" si="1"/>
        <v>100</v>
      </c>
      <c r="C32" s="10">
        <f t="shared" si="2"/>
        <v>300</v>
      </c>
      <c r="D32" s="1" t="str">
        <f t="shared" si="3"/>
        <v>100 / 200 / 300</v>
      </c>
      <c r="E32" s="1">
        <v>5</v>
      </c>
      <c r="F32" s="1">
        <f t="shared" si="4"/>
        <v>6</v>
      </c>
      <c r="G32" s="1"/>
      <c r="H32" s="1"/>
      <c r="I32" s="1"/>
      <c r="J32" s="1"/>
      <c r="K32" s="1"/>
      <c r="L32" s="1"/>
      <c r="M32" s="1"/>
      <c r="N32" s="1" t="s">
        <v>31</v>
      </c>
      <c r="O32" s="1">
        <f>IF(ISNUMBER(政策金额数据!E11),政策金额数据!E11,"")</f>
        <v>100</v>
      </c>
      <c r="P32" s="1">
        <f>IF(ISNUMBER(政策金额数据!F11),政策金额数据!F11,"")</f>
        <v>300</v>
      </c>
      <c r="Q32" s="1" t="str">
        <f>政策金额数据!G11</f>
        <v>100 / 200 / 300</v>
      </c>
      <c r="R32" s="1">
        <f>COUNTIFS($P$28:$P$34,"&lt;"&amp;P32)+COUNTIFS($P$28:P32,P32)</f>
        <v>5</v>
      </c>
      <c r="S32" s="1">
        <v>6</v>
      </c>
      <c r="T32" s="1"/>
      <c r="U32" s="1"/>
      <c r="V32" s="1"/>
    </row>
    <row r="33" spans="1:22" ht="27" customHeight="1">
      <c r="A33" s="1" t="str">
        <f t="shared" si="0"/>
        <v>吴江</v>
      </c>
      <c r="B33" s="10">
        <f t="shared" si="1"/>
        <v>100</v>
      </c>
      <c r="C33" s="10">
        <f t="shared" si="2"/>
        <v>300</v>
      </c>
      <c r="D33" s="1" t="str">
        <f t="shared" si="3"/>
        <v>100 / 200 / 300</v>
      </c>
      <c r="E33" s="1">
        <v>6</v>
      </c>
      <c r="F33" s="1">
        <f t="shared" si="4"/>
        <v>7</v>
      </c>
      <c r="G33" s="1"/>
      <c r="H33" s="1"/>
      <c r="I33" s="1"/>
      <c r="J33" s="1"/>
      <c r="K33" s="1"/>
      <c r="L33" s="1"/>
      <c r="M33" s="1"/>
      <c r="N33" s="1" t="s">
        <v>35</v>
      </c>
      <c r="O33" s="1">
        <f>IF(ISNUMBER(政策金额数据!E12),政策金额数据!E12,"")</f>
        <v>100</v>
      </c>
      <c r="P33" s="1">
        <f>IF(ISNUMBER(政策金额数据!F12),政策金额数据!F12,"")</f>
        <v>300</v>
      </c>
      <c r="Q33" s="1" t="str">
        <f>政策金额数据!G12</f>
        <v>100 / 200 / 300</v>
      </c>
      <c r="R33" s="1">
        <f>COUNTIFS($P$28:$P$34,"&lt;"&amp;P33)+COUNTIFS($P$28:P33,P33)</f>
        <v>6</v>
      </c>
      <c r="S33" s="1">
        <v>7</v>
      </c>
      <c r="T33" s="1"/>
      <c r="U33" s="1"/>
      <c r="V33" s="1"/>
    </row>
    <row r="34" spans="1:22" ht="27" customHeight="1">
      <c r="A34" s="1" t="str">
        <f t="shared" si="0"/>
        <v>昆山</v>
      </c>
      <c r="B34" s="10">
        <f t="shared" si="1"/>
        <v>100</v>
      </c>
      <c r="C34" s="10">
        <f t="shared" si="2"/>
        <v>400</v>
      </c>
      <c r="D34" s="1" t="str">
        <f t="shared" si="3"/>
        <v>100 / 200 / 300 / 400</v>
      </c>
      <c r="E34" s="1">
        <v>7</v>
      </c>
      <c r="F34" s="1">
        <f t="shared" si="4"/>
        <v>4</v>
      </c>
      <c r="G34" s="1"/>
      <c r="H34" s="1"/>
      <c r="I34" s="1"/>
      <c r="J34" s="1"/>
      <c r="K34" s="1"/>
      <c r="L34" s="1"/>
      <c r="M34" s="1"/>
      <c r="N34" s="1" t="s">
        <v>39</v>
      </c>
      <c r="O34" s="1">
        <f>IF(ISNUMBER(政策金额数据!E13),政策金额数据!E13,"")</f>
        <v>50</v>
      </c>
      <c r="P34" s="1">
        <f>IF(ISNUMBER(政策金额数据!F13),政策金额数据!F13,"")</f>
        <v>100</v>
      </c>
      <c r="Q34" s="1" t="str">
        <f>政策金额数据!G13</f>
        <v>50 / 100</v>
      </c>
      <c r="R34" s="1">
        <f>COUNTIFS($P$28:$P$34,"&lt;"&amp;P34)+COUNTIFS($P$28:P34,P34)</f>
        <v>2</v>
      </c>
      <c r="S34" s="1">
        <v>8</v>
      </c>
      <c r="T34" s="1"/>
      <c r="U34" s="1"/>
      <c r="V34" s="1"/>
    </row>
    <row r="35" spans="1:22" ht="25" customHeight="1">
      <c r="A35" s="1"/>
      <c r="B35" s="10"/>
      <c r="C35" s="10"/>
      <c r="D35" s="1"/>
      <c r="E35" s="1"/>
      <c r="F35" s="1"/>
      <c r="G35" s="1"/>
      <c r="H35" s="1"/>
      <c r="I35" s="1"/>
      <c r="J35" s="1"/>
      <c r="K35" s="1"/>
      <c r="L35" s="1"/>
      <c r="M35" s="1"/>
      <c r="N35" s="1"/>
      <c r="O35" s="1"/>
      <c r="P35" s="1"/>
      <c r="Q35" s="1"/>
      <c r="R35" s="1"/>
      <c r="S35" s="1"/>
      <c r="T35" s="1"/>
      <c r="U35" s="1"/>
      <c r="V35" s="1"/>
    </row>
    <row r="36" spans="1:22" ht="25" customHeight="1">
      <c r="A36" s="1"/>
      <c r="B36" s="1"/>
      <c r="C36" s="1"/>
      <c r="D36" s="1"/>
      <c r="E36" s="1"/>
      <c r="F36" s="1"/>
      <c r="G36" s="1"/>
      <c r="H36" s="1"/>
      <c r="I36" s="1"/>
      <c r="J36" s="1"/>
      <c r="K36" s="1"/>
      <c r="L36" s="1"/>
      <c r="M36" s="1"/>
      <c r="N36" s="1"/>
      <c r="O36" s="1"/>
      <c r="P36" s="1"/>
      <c r="Q36" s="1"/>
      <c r="R36" s="1"/>
      <c r="S36" s="1"/>
      <c r="T36" s="1"/>
      <c r="U36" s="1"/>
      <c r="V36" s="1"/>
    </row>
    <row r="37" spans="1:22" ht="25" customHeight="1">
      <c r="A37" s="1"/>
      <c r="B37" s="1"/>
      <c r="C37" s="1"/>
      <c r="D37" s="1"/>
      <c r="E37" s="1"/>
      <c r="F37" s="1"/>
      <c r="G37" s="1"/>
      <c r="H37" s="1"/>
      <c r="I37" s="1"/>
      <c r="J37" s="1"/>
      <c r="K37" s="1"/>
      <c r="L37" s="1"/>
      <c r="M37" s="1"/>
      <c r="N37" s="1"/>
      <c r="O37" s="1"/>
      <c r="P37" s="1"/>
      <c r="Q37" s="1"/>
      <c r="R37" s="1"/>
      <c r="S37" s="1"/>
      <c r="T37" s="1"/>
      <c r="U37" s="1"/>
      <c r="V37" s="1"/>
    </row>
    <row r="38" spans="1:22" ht="25" customHeight="1">
      <c r="A38" s="1"/>
      <c r="B38" s="1"/>
      <c r="C38" s="1"/>
      <c r="D38" s="1"/>
      <c r="E38" s="1"/>
      <c r="F38" s="1"/>
      <c r="G38" s="1"/>
      <c r="H38" s="1"/>
      <c r="I38" s="1"/>
      <c r="J38" s="1"/>
      <c r="K38" s="1"/>
      <c r="L38" s="1"/>
      <c r="M38" s="1"/>
      <c r="N38" s="1"/>
      <c r="O38" s="1"/>
      <c r="P38" s="1"/>
      <c r="Q38" s="1"/>
      <c r="R38" s="1"/>
      <c r="S38" s="1"/>
      <c r="T38" s="1"/>
      <c r="U38" s="1"/>
      <c r="V38" s="1"/>
    </row>
    <row r="39" spans="1:22" ht="25" customHeight="1">
      <c r="A39" s="1"/>
      <c r="B39" s="1"/>
      <c r="C39" s="1"/>
      <c r="D39" s="1"/>
      <c r="E39" s="1"/>
      <c r="F39" s="1"/>
      <c r="G39" s="1"/>
      <c r="H39" s="1"/>
      <c r="I39" s="1"/>
      <c r="J39" s="1"/>
      <c r="K39" s="1"/>
      <c r="L39" s="1"/>
      <c r="M39" s="1"/>
      <c r="N39" s="1"/>
      <c r="O39" s="1"/>
      <c r="P39" s="1"/>
      <c r="Q39" s="1"/>
      <c r="R39" s="1"/>
      <c r="S39" s="1"/>
      <c r="T39" s="1"/>
      <c r="U39" s="1"/>
      <c r="V39" s="1"/>
    </row>
    <row r="40" spans="1:22" ht="25" customHeight="1">
      <c r="A40" s="7" t="s">
        <v>164</v>
      </c>
      <c r="B40" s="1"/>
      <c r="C40" s="1"/>
      <c r="D40" s="1"/>
      <c r="E40" s="1"/>
      <c r="F40" s="1"/>
      <c r="G40" s="1"/>
      <c r="H40" s="1"/>
      <c r="I40" s="1"/>
      <c r="J40" s="1"/>
      <c r="K40" s="1"/>
      <c r="L40" s="1"/>
      <c r="M40" s="1"/>
      <c r="N40" s="1"/>
      <c r="O40" s="1"/>
      <c r="P40" s="1"/>
      <c r="Q40" s="1"/>
      <c r="R40" s="1"/>
      <c r="S40" s="1"/>
      <c r="T40" s="1"/>
      <c r="U40" s="1"/>
      <c r="V40" s="1"/>
    </row>
    <row r="41" spans="1:22" ht="25" customHeight="1">
      <c r="A41" s="1" t="s">
        <v>165</v>
      </c>
      <c r="B41" s="1"/>
      <c r="C41" s="1"/>
      <c r="D41" s="1"/>
      <c r="E41" s="1"/>
      <c r="F41" s="1"/>
      <c r="G41" s="1"/>
      <c r="H41" s="1"/>
      <c r="I41" s="1"/>
      <c r="J41" s="1"/>
      <c r="K41" s="1"/>
      <c r="L41" s="1"/>
      <c r="M41" s="1"/>
      <c r="N41" s="1"/>
      <c r="O41" s="1"/>
      <c r="P41" s="1"/>
      <c r="Q41" s="1"/>
      <c r="R41" s="1"/>
      <c r="S41" s="1"/>
      <c r="T41" s="1"/>
      <c r="U41" s="1"/>
      <c r="V41" s="1"/>
    </row>
    <row r="42" spans="1:22" ht="25" customHeight="1">
      <c r="A42" s="1"/>
      <c r="B42" s="1"/>
      <c r="C42" s="1"/>
      <c r="D42" s="1"/>
      <c r="E42" s="1"/>
      <c r="F42" s="1"/>
      <c r="G42" s="1"/>
      <c r="H42" s="1"/>
      <c r="I42" s="1"/>
      <c r="J42" s="1"/>
      <c r="K42" s="1"/>
      <c r="L42" s="1"/>
      <c r="M42" s="1"/>
      <c r="N42" s="1"/>
      <c r="O42" s="1"/>
      <c r="P42" s="1"/>
      <c r="Q42" s="1"/>
      <c r="R42" s="1"/>
      <c r="S42" s="1"/>
      <c r="T42" s="1"/>
      <c r="U42" s="1"/>
      <c r="V42" s="1"/>
    </row>
    <row r="43" spans="1:22" ht="25" customHeight="1">
      <c r="A43" s="1"/>
      <c r="B43" s="1"/>
      <c r="C43" s="1"/>
      <c r="D43" s="1"/>
      <c r="E43" s="1"/>
      <c r="F43" s="1"/>
      <c r="G43" s="1"/>
      <c r="H43" s="1"/>
      <c r="I43" s="1"/>
      <c r="J43" s="1"/>
      <c r="K43" s="1"/>
      <c r="L43" s="1"/>
      <c r="M43" s="1"/>
      <c r="N43" s="1"/>
      <c r="O43" s="1"/>
      <c r="P43" s="1"/>
      <c r="Q43" s="1"/>
      <c r="R43" s="1"/>
      <c r="S43" s="1"/>
      <c r="T43" s="1"/>
      <c r="U43" s="1"/>
      <c r="V43" s="1"/>
    </row>
    <row r="44" spans="1:22" ht="25" customHeight="1">
      <c r="A44" s="1"/>
      <c r="B44" s="1"/>
      <c r="C44" s="1"/>
      <c r="D44" s="1"/>
      <c r="E44" s="1"/>
      <c r="F44" s="1"/>
      <c r="G44" s="1"/>
      <c r="H44" s="1"/>
      <c r="I44" s="1"/>
      <c r="J44" s="1"/>
      <c r="K44" s="1"/>
      <c r="L44" s="1"/>
      <c r="M44" s="1"/>
      <c r="N44" s="1"/>
      <c r="O44" s="1"/>
      <c r="P44" s="1"/>
      <c r="Q44" s="1"/>
      <c r="R44" s="1"/>
      <c r="S44" s="1"/>
      <c r="T44" s="1"/>
      <c r="U44" s="1"/>
      <c r="V44" s="1"/>
    </row>
    <row r="45" spans="1:22" ht="25" customHeight="1">
      <c r="A45" s="1"/>
      <c r="B45" s="1"/>
      <c r="C45" s="1"/>
      <c r="D45" s="1"/>
      <c r="E45" s="1"/>
      <c r="F45" s="1"/>
      <c r="G45" s="1"/>
      <c r="H45" s="1"/>
      <c r="I45" s="1"/>
      <c r="J45" s="1"/>
      <c r="K45" s="1"/>
      <c r="L45" s="1"/>
      <c r="M45" s="1"/>
      <c r="N45" s="1"/>
      <c r="O45" s="1"/>
      <c r="P45" s="1"/>
      <c r="Q45" s="1"/>
      <c r="R45" s="1"/>
      <c r="S45" s="1"/>
      <c r="T45" s="1"/>
      <c r="U45" s="1"/>
      <c r="V45" s="1"/>
    </row>
    <row r="46" spans="1:22" ht="25" customHeight="1">
      <c r="A46" s="1"/>
      <c r="B46" s="1"/>
      <c r="C46" s="1"/>
      <c r="D46" s="1"/>
      <c r="E46" s="1"/>
      <c r="F46" s="1"/>
      <c r="G46" s="1"/>
      <c r="H46" s="1"/>
      <c r="I46" s="1"/>
      <c r="J46" s="1"/>
      <c r="K46" s="1"/>
      <c r="L46" s="1"/>
      <c r="M46" s="1"/>
      <c r="N46" s="1"/>
      <c r="O46" s="1"/>
      <c r="P46" s="1"/>
      <c r="Q46" s="1"/>
      <c r="R46" s="1"/>
      <c r="S46" s="1"/>
      <c r="T46" s="1"/>
      <c r="U46" s="1"/>
      <c r="V46" s="1"/>
    </row>
    <row r="47" spans="1:22" ht="25" customHeight="1">
      <c r="A47" s="1"/>
      <c r="B47" s="1"/>
      <c r="C47" s="1"/>
      <c r="D47" s="1"/>
      <c r="E47" s="1"/>
      <c r="F47" s="1"/>
      <c r="G47" s="1"/>
      <c r="H47" s="1"/>
      <c r="I47" s="1"/>
      <c r="J47" s="1"/>
      <c r="K47" s="1"/>
      <c r="L47" s="1"/>
      <c r="M47" s="1"/>
      <c r="N47" s="1"/>
      <c r="O47" s="1"/>
      <c r="P47" s="1"/>
      <c r="Q47" s="1"/>
      <c r="R47" s="1"/>
      <c r="S47" s="1"/>
      <c r="T47" s="1"/>
      <c r="U47" s="1"/>
      <c r="V47" s="1"/>
    </row>
    <row r="48" spans="1:22" ht="25" customHeight="1">
      <c r="A48" s="1"/>
      <c r="B48" s="1"/>
      <c r="C48" s="1"/>
      <c r="D48" s="1"/>
      <c r="E48" s="1"/>
      <c r="F48" s="1"/>
      <c r="G48" s="1"/>
      <c r="H48" s="1"/>
      <c r="I48" s="1"/>
      <c r="J48" s="1"/>
      <c r="K48" s="1"/>
      <c r="L48" s="1"/>
      <c r="M48" s="1"/>
      <c r="N48" s="1"/>
      <c r="O48" s="1"/>
      <c r="P48" s="1"/>
      <c r="Q48" s="1"/>
      <c r="R48" s="1"/>
      <c r="S48" s="1"/>
      <c r="T48" s="1"/>
      <c r="U48" s="1"/>
      <c r="V48" s="1"/>
    </row>
    <row r="49" spans="1:22" ht="25" customHeight="1">
      <c r="A49" s="1"/>
      <c r="B49" s="1"/>
      <c r="C49" s="1"/>
      <c r="D49" s="1"/>
      <c r="E49" s="1"/>
      <c r="F49" s="1"/>
      <c r="G49" s="1"/>
      <c r="H49" s="1"/>
      <c r="I49" s="1"/>
      <c r="J49" s="1"/>
      <c r="K49" s="1"/>
      <c r="L49" s="1"/>
      <c r="M49" s="1"/>
      <c r="N49" s="1"/>
      <c r="O49" s="1"/>
      <c r="P49" s="1"/>
      <c r="Q49" s="1"/>
      <c r="R49" s="1"/>
      <c r="S49" s="1"/>
      <c r="T49" s="1"/>
      <c r="U49" s="1"/>
      <c r="V49" s="1"/>
    </row>
    <row r="50" spans="1:22" ht="25" customHeight="1">
      <c r="A50" s="1"/>
      <c r="B50" s="1"/>
      <c r="C50" s="1"/>
      <c r="D50" s="1"/>
      <c r="E50" s="1"/>
      <c r="F50" s="1"/>
      <c r="G50" s="1"/>
      <c r="H50" s="1"/>
      <c r="I50" s="1"/>
      <c r="J50" s="1"/>
      <c r="K50" s="1"/>
      <c r="L50" s="1"/>
      <c r="M50" s="1"/>
      <c r="N50" s="1"/>
      <c r="O50" s="1"/>
      <c r="P50" s="1"/>
      <c r="Q50" s="1"/>
      <c r="R50" s="1"/>
      <c r="S50" s="1"/>
      <c r="T50" s="1"/>
      <c r="U50" s="1"/>
      <c r="V50" s="1"/>
    </row>
    <row r="51" spans="1:22" ht="25" customHeight="1">
      <c r="A51" s="1"/>
      <c r="B51" s="1"/>
      <c r="C51" s="1"/>
      <c r="D51" s="1"/>
      <c r="E51" s="1"/>
      <c r="F51" s="1"/>
      <c r="G51" s="1"/>
      <c r="H51" s="1"/>
      <c r="I51" s="1"/>
      <c r="J51" s="1"/>
      <c r="K51" s="1"/>
      <c r="L51" s="1"/>
      <c r="M51" s="1"/>
      <c r="N51" s="1"/>
      <c r="O51" s="1"/>
      <c r="P51" s="1"/>
      <c r="Q51" s="1"/>
      <c r="R51" s="1"/>
      <c r="S51" s="1"/>
      <c r="T51" s="1"/>
      <c r="U51" s="1"/>
      <c r="V51" s="1"/>
    </row>
    <row r="52" spans="1:22" ht="25" customHeight="1">
      <c r="A52" s="1"/>
      <c r="B52" s="1"/>
      <c r="C52" s="1"/>
      <c r="D52" s="1"/>
      <c r="E52" s="1"/>
      <c r="F52" s="1"/>
      <c r="G52" s="1"/>
      <c r="H52" s="1"/>
      <c r="I52" s="1"/>
      <c r="J52" s="1"/>
      <c r="K52" s="1"/>
      <c r="L52" s="1"/>
      <c r="M52" s="1"/>
      <c r="N52" s="1"/>
      <c r="O52" s="1"/>
      <c r="P52" s="1"/>
      <c r="Q52" s="1"/>
      <c r="R52" s="1"/>
      <c r="S52" s="1"/>
      <c r="T52" s="1"/>
      <c r="U52" s="1"/>
      <c r="V52" s="1"/>
    </row>
    <row r="53" spans="1:22" ht="25" customHeight="1">
      <c r="A53" s="1"/>
      <c r="B53" s="1"/>
      <c r="C53" s="1"/>
      <c r="D53" s="1"/>
      <c r="E53" s="1"/>
      <c r="F53" s="1"/>
      <c r="G53" s="1"/>
      <c r="H53" s="1"/>
      <c r="I53" s="1"/>
      <c r="J53" s="1"/>
      <c r="K53" s="1"/>
      <c r="L53" s="1"/>
      <c r="M53" s="1"/>
      <c r="N53" s="1"/>
      <c r="O53" s="1"/>
      <c r="P53" s="1"/>
      <c r="Q53" s="1"/>
      <c r="R53" s="1"/>
      <c r="S53" s="1"/>
      <c r="T53" s="1"/>
      <c r="U53" s="1"/>
      <c r="V53" s="1"/>
    </row>
    <row r="54" spans="1:22" ht="25" customHeight="1">
      <c r="A54" s="1"/>
      <c r="B54" s="1"/>
      <c r="C54" s="1"/>
      <c r="D54" s="1"/>
      <c r="E54" s="1"/>
      <c r="F54" s="1"/>
      <c r="G54" s="1"/>
      <c r="H54" s="1"/>
      <c r="I54" s="1"/>
      <c r="J54" s="1"/>
      <c r="K54" s="1"/>
      <c r="L54" s="1"/>
      <c r="M54" s="1"/>
      <c r="N54" s="1"/>
      <c r="O54" s="1"/>
      <c r="P54" s="1"/>
      <c r="Q54" s="1"/>
      <c r="R54" s="1"/>
      <c r="S54" s="1"/>
      <c r="T54" s="1"/>
      <c r="U54" s="1"/>
      <c r="V54" s="1"/>
    </row>
    <row r="55" spans="1:22" ht="25" customHeight="1">
      <c r="A55" s="1"/>
      <c r="B55" s="1"/>
      <c r="C55" s="1"/>
      <c r="D55" s="1"/>
      <c r="E55" s="1"/>
      <c r="F55" s="1"/>
      <c r="G55" s="1"/>
      <c r="H55" s="1"/>
      <c r="I55" s="1"/>
      <c r="J55" s="1"/>
      <c r="K55" s="1"/>
      <c r="L55" s="1"/>
      <c r="M55" s="1"/>
      <c r="N55" s="1"/>
      <c r="O55" s="1"/>
      <c r="P55" s="1"/>
      <c r="Q55" s="1"/>
      <c r="R55" s="1"/>
      <c r="S55" s="1"/>
      <c r="T55" s="1"/>
      <c r="U55" s="1"/>
      <c r="V55" s="1"/>
    </row>
    <row r="56" spans="1:22" ht="25" customHeight="1">
      <c r="A56" s="1"/>
      <c r="B56" s="1"/>
      <c r="C56" s="1"/>
      <c r="D56" s="1"/>
      <c r="E56" s="1"/>
      <c r="F56" s="1"/>
      <c r="G56" s="1"/>
      <c r="H56" s="1"/>
      <c r="I56" s="1"/>
      <c r="J56" s="1"/>
      <c r="K56" s="1"/>
      <c r="L56" s="1"/>
      <c r="M56" s="1"/>
      <c r="N56" s="1"/>
      <c r="O56" s="1"/>
      <c r="P56" s="1"/>
      <c r="Q56" s="1"/>
      <c r="R56" s="1"/>
      <c r="S56" s="1"/>
      <c r="T56" s="1"/>
      <c r="U56" s="1"/>
      <c r="V56" s="1"/>
    </row>
    <row r="57" spans="1:22" ht="25" customHeight="1">
      <c r="A57" s="1"/>
      <c r="B57" s="1"/>
      <c r="C57" s="1"/>
      <c r="D57" s="1"/>
      <c r="E57" s="1"/>
      <c r="F57" s="1"/>
      <c r="G57" s="1"/>
      <c r="H57" s="1"/>
      <c r="I57" s="1"/>
      <c r="J57" s="1"/>
      <c r="K57" s="1"/>
      <c r="L57" s="1"/>
      <c r="M57" s="1"/>
      <c r="N57" s="1"/>
      <c r="O57" s="1"/>
      <c r="P57" s="1"/>
      <c r="Q57" s="1"/>
      <c r="R57" s="1"/>
      <c r="S57" s="1"/>
      <c r="T57" s="1"/>
      <c r="U57" s="1"/>
      <c r="V57" s="1"/>
    </row>
    <row r="58" spans="1:22" ht="25" customHeight="1">
      <c r="A58" s="1"/>
      <c r="B58" s="1"/>
      <c r="C58" s="1"/>
      <c r="D58" s="1"/>
      <c r="E58" s="1"/>
      <c r="F58" s="1"/>
      <c r="G58" s="1"/>
      <c r="H58" s="1"/>
      <c r="I58" s="1"/>
      <c r="J58" s="1"/>
      <c r="K58" s="1"/>
      <c r="L58" s="1"/>
      <c r="M58" s="1"/>
      <c r="N58" s="1"/>
      <c r="O58" s="1"/>
      <c r="P58" s="1"/>
      <c r="Q58" s="1"/>
      <c r="R58" s="1"/>
      <c r="S58" s="1"/>
      <c r="T58" s="1"/>
      <c r="U58" s="1"/>
      <c r="V58" s="1"/>
    </row>
    <row r="59" spans="1:22" ht="25" customHeight="1">
      <c r="A59" s="1"/>
      <c r="B59" s="1"/>
      <c r="C59" s="1"/>
      <c r="D59" s="1"/>
      <c r="E59" s="1"/>
      <c r="F59" s="1"/>
      <c r="G59" s="1"/>
      <c r="H59" s="1"/>
      <c r="I59" s="1"/>
      <c r="J59" s="1"/>
      <c r="K59" s="1"/>
      <c r="L59" s="1"/>
      <c r="M59" s="1"/>
      <c r="N59" s="1"/>
      <c r="O59" s="1"/>
      <c r="P59" s="1"/>
      <c r="Q59" s="1"/>
      <c r="R59" s="1"/>
      <c r="S59" s="1"/>
      <c r="T59" s="1"/>
      <c r="U59" s="1"/>
      <c r="V59" s="1"/>
    </row>
    <row r="60" spans="1:22" ht="25" customHeight="1">
      <c r="A60" s="1"/>
      <c r="B60" s="1"/>
      <c r="C60" s="1"/>
      <c r="D60" s="1"/>
      <c r="E60" s="1"/>
      <c r="F60" s="1"/>
      <c r="G60" s="1"/>
      <c r="H60" s="1"/>
      <c r="I60" s="1"/>
      <c r="J60" s="1"/>
      <c r="K60" s="1"/>
      <c r="L60" s="1"/>
      <c r="M60" s="1"/>
      <c r="N60" s="1"/>
      <c r="O60" s="1"/>
      <c r="P60" s="1"/>
      <c r="Q60" s="1"/>
      <c r="R60" s="1"/>
      <c r="S60" s="1"/>
      <c r="T60" s="1"/>
      <c r="U60" s="1"/>
      <c r="V60" s="1"/>
    </row>
    <row r="61" spans="1:22" ht="25" customHeight="1">
      <c r="A61" s="1"/>
      <c r="B61" s="1"/>
      <c r="C61" s="1"/>
      <c r="D61" s="1"/>
      <c r="E61" s="1"/>
      <c r="F61" s="1"/>
      <c r="G61" s="1"/>
      <c r="H61" s="1"/>
      <c r="I61" s="1"/>
      <c r="J61" s="1"/>
      <c r="K61" s="1"/>
      <c r="L61" s="1"/>
      <c r="M61" s="1"/>
      <c r="N61" s="1"/>
      <c r="O61" s="1"/>
      <c r="P61" s="1"/>
      <c r="Q61" s="1"/>
      <c r="R61" s="1"/>
      <c r="S61" s="1"/>
      <c r="T61" s="1"/>
      <c r="U61" s="1"/>
      <c r="V61" s="1"/>
    </row>
    <row r="62" spans="1:22" ht="32" customHeight="1">
      <c r="A62" s="8" t="s">
        <v>2</v>
      </c>
      <c r="B62" s="8" t="s">
        <v>154</v>
      </c>
      <c r="C62" s="8" t="s">
        <v>155</v>
      </c>
      <c r="D62" s="8" t="s">
        <v>156</v>
      </c>
      <c r="E62" s="8" t="s">
        <v>157</v>
      </c>
      <c r="F62" s="8" t="s">
        <v>158</v>
      </c>
      <c r="G62" s="1"/>
      <c r="H62" s="1"/>
      <c r="I62" s="1"/>
      <c r="J62" s="1"/>
      <c r="K62" s="1"/>
      <c r="L62" s="1"/>
      <c r="M62" s="1"/>
      <c r="N62" s="9" t="s">
        <v>159</v>
      </c>
      <c r="O62" s="9" t="s">
        <v>154</v>
      </c>
      <c r="P62" s="9" t="s">
        <v>155</v>
      </c>
      <c r="Q62" s="9" t="s">
        <v>156</v>
      </c>
      <c r="R62" s="9" t="s">
        <v>160</v>
      </c>
      <c r="S62" s="9" t="s">
        <v>158</v>
      </c>
      <c r="T62" s="1"/>
      <c r="U62" s="1"/>
      <c r="V62" s="1"/>
    </row>
    <row r="63" spans="1:22" ht="27" customHeight="1">
      <c r="A63" s="1" t="str">
        <f t="shared" ref="A63:A68" si="5">INDEX(N$63:N$68,MATCH(E63,$R$63:$R$68,0))</f>
        <v>姑苏区</v>
      </c>
      <c r="B63" s="10">
        <f t="shared" ref="B63:B68" si="6">INDEX(O$63:O$68,MATCH(E63,$R$63:$R$68,0))</f>
        <v>0</v>
      </c>
      <c r="C63" s="10">
        <f t="shared" ref="C63:C68" si="7">INDEX(P$63:P$68,MATCH(E63,$R$63:$R$68,0))</f>
        <v>0</v>
      </c>
      <c r="D63" s="1" t="str">
        <f t="shared" ref="D63:D68" si="8">INDEX(Q$63:Q$68,MATCH(E63,$R$63:$R$68,0))</f>
        <v>无项目资助</v>
      </c>
      <c r="E63" s="1">
        <v>1</v>
      </c>
      <c r="F63" s="1">
        <f t="shared" ref="F63:F68" si="9">INDEX(S$63:S$68,MATCH(E63,$R$63:$R$68,0))</f>
        <v>10</v>
      </c>
      <c r="G63" s="1"/>
      <c r="H63" s="1"/>
      <c r="I63" s="1"/>
      <c r="J63" s="1"/>
      <c r="K63" s="1"/>
      <c r="L63" s="1"/>
      <c r="M63" s="1"/>
      <c r="N63" s="1" t="s">
        <v>161</v>
      </c>
      <c r="O63" s="1">
        <f>IF(ISNUMBER(政策金额数据!E14),政策金额数据!E14,"")</f>
        <v>50</v>
      </c>
      <c r="P63" s="1">
        <f>IF(ISNUMBER(政策金额数据!F14),政策金额数据!F14,"")</f>
        <v>100</v>
      </c>
      <c r="Q63" s="1" t="str">
        <f>政策金额数据!G14</f>
        <v>50—100</v>
      </c>
      <c r="R63" s="1">
        <f>COUNTIFS($P$63:$P$68,"&lt;"&amp;P63)+COUNTIFS($P$63:P63,P63)</f>
        <v>2</v>
      </c>
      <c r="S63" s="1">
        <v>9</v>
      </c>
      <c r="T63" s="1"/>
      <c r="U63" s="1"/>
      <c r="V63" s="1"/>
    </row>
    <row r="64" spans="1:22" ht="27" customHeight="1">
      <c r="A64" s="1" t="str">
        <f t="shared" si="5"/>
        <v>吴中</v>
      </c>
      <c r="B64" s="10">
        <f t="shared" si="6"/>
        <v>50</v>
      </c>
      <c r="C64" s="10">
        <f t="shared" si="7"/>
        <v>100</v>
      </c>
      <c r="D64" s="1" t="str">
        <f t="shared" si="8"/>
        <v>50—100</v>
      </c>
      <c r="E64" s="1">
        <v>2</v>
      </c>
      <c r="F64" s="1">
        <f t="shared" si="9"/>
        <v>9</v>
      </c>
      <c r="G64" s="1"/>
      <c r="H64" s="1"/>
      <c r="I64" s="1"/>
      <c r="J64" s="1"/>
      <c r="K64" s="1"/>
      <c r="L64" s="1"/>
      <c r="M64" s="1"/>
      <c r="N64" s="1" t="s">
        <v>162</v>
      </c>
      <c r="O64" s="1">
        <f>IF(ISNUMBER(政策金额数据!E15),政策金额数据!E15,"")</f>
        <v>0</v>
      </c>
      <c r="P64" s="1">
        <f>IF(ISNUMBER(政策金额数据!F15),政策金额数据!F15,"")</f>
        <v>0</v>
      </c>
      <c r="Q64" s="1" t="str">
        <f>政策金额数据!G15</f>
        <v>无项目资助</v>
      </c>
      <c r="R64" s="1">
        <f>COUNTIFS($P$63:$P$68,"&lt;"&amp;P64)+COUNTIFS($P$63:P64,P64)</f>
        <v>1</v>
      </c>
      <c r="S64" s="1">
        <v>10</v>
      </c>
      <c r="T64" s="1"/>
      <c r="U64" s="1"/>
      <c r="V64" s="1"/>
    </row>
    <row r="65" spans="1:22" ht="27" customHeight="1">
      <c r="A65" s="1" t="str">
        <f t="shared" si="5"/>
        <v>高新区</v>
      </c>
      <c r="B65" s="10">
        <f t="shared" si="6"/>
        <v>50</v>
      </c>
      <c r="C65" s="10">
        <f t="shared" si="7"/>
        <v>100</v>
      </c>
      <c r="D65" s="1" t="str">
        <f t="shared" si="8"/>
        <v>50 / 100</v>
      </c>
      <c r="E65" s="1">
        <v>3</v>
      </c>
      <c r="F65" s="1">
        <f t="shared" si="9"/>
        <v>14</v>
      </c>
      <c r="G65" s="1"/>
      <c r="H65" s="1"/>
      <c r="I65" s="1"/>
      <c r="J65" s="1"/>
      <c r="K65" s="1"/>
      <c r="L65" s="1"/>
      <c r="M65" s="1"/>
      <c r="N65" s="1" t="s">
        <v>21</v>
      </c>
      <c r="O65" s="1">
        <f>IF(ISNUMBER(政策金额数据!E17),政策金额数据!E17,"")</f>
        <v>100</v>
      </c>
      <c r="P65" s="1">
        <f>IF(ISNUMBER(政策金额数据!F17),政策金额数据!F17,"")</f>
        <v>200</v>
      </c>
      <c r="Q65" s="1" t="str">
        <f>政策金额数据!G17</f>
        <v>100 / 200</v>
      </c>
      <c r="R65" s="1">
        <f>COUNTIFS($P$63:$P$68,"&lt;"&amp;P65)+COUNTIFS($P$63:P65,P65)</f>
        <v>6</v>
      </c>
      <c r="S65" s="1">
        <v>12</v>
      </c>
      <c r="T65" s="1"/>
      <c r="U65" s="1"/>
      <c r="V65" s="1"/>
    </row>
    <row r="66" spans="1:22" ht="27" customHeight="1">
      <c r="A66" s="1" t="str">
        <f t="shared" si="5"/>
        <v>相城</v>
      </c>
      <c r="B66" s="10">
        <f t="shared" si="6"/>
        <v>50</v>
      </c>
      <c r="C66" s="10">
        <f t="shared" si="7"/>
        <v>100</v>
      </c>
      <c r="D66" s="1" t="str">
        <f t="shared" si="8"/>
        <v>50 / 80 / 100</v>
      </c>
      <c r="E66" s="1">
        <v>4</v>
      </c>
      <c r="F66" s="1">
        <f t="shared" si="9"/>
        <v>16</v>
      </c>
      <c r="G66" s="1"/>
      <c r="H66" s="1"/>
      <c r="I66" s="1"/>
      <c r="J66" s="1"/>
      <c r="K66" s="1"/>
      <c r="L66" s="1"/>
      <c r="M66" s="1"/>
      <c r="N66" s="1" t="s">
        <v>31</v>
      </c>
      <c r="O66" s="1">
        <f>IF(ISNUMBER(政策金额数据!E19),政策金额数据!E19,"")</f>
        <v>50</v>
      </c>
      <c r="P66" s="1">
        <f>IF(ISNUMBER(政策金额数据!F19),政策金额数据!F19,"")</f>
        <v>100</v>
      </c>
      <c r="Q66" s="1" t="str">
        <f>政策金额数据!G19</f>
        <v>50 / 100</v>
      </c>
      <c r="R66" s="1">
        <f>COUNTIFS($P$63:$P$68,"&lt;"&amp;P66)+COUNTIFS($P$63:P66,P66)</f>
        <v>3</v>
      </c>
      <c r="S66" s="1">
        <v>14</v>
      </c>
      <c r="T66" s="1"/>
      <c r="U66" s="1"/>
      <c r="V66" s="1"/>
    </row>
    <row r="67" spans="1:22" ht="27" customHeight="1">
      <c r="A67" s="1" t="str">
        <f t="shared" si="5"/>
        <v>吴江</v>
      </c>
      <c r="B67" s="10">
        <f t="shared" si="6"/>
        <v>50</v>
      </c>
      <c r="C67" s="10">
        <f t="shared" si="7"/>
        <v>150</v>
      </c>
      <c r="D67" s="1" t="str">
        <f t="shared" si="8"/>
        <v>50 / 100 / 150</v>
      </c>
      <c r="E67" s="1">
        <v>5</v>
      </c>
      <c r="F67" s="1">
        <f t="shared" si="9"/>
        <v>15</v>
      </c>
      <c r="G67" s="1"/>
      <c r="H67" s="1"/>
      <c r="I67" s="1"/>
      <c r="J67" s="1"/>
      <c r="K67" s="1"/>
      <c r="L67" s="1"/>
      <c r="M67" s="1"/>
      <c r="N67" s="1" t="s">
        <v>35</v>
      </c>
      <c r="O67" s="1">
        <f>IF(ISNUMBER(政策金额数据!E20),政策金额数据!E20,"")</f>
        <v>50</v>
      </c>
      <c r="P67" s="1">
        <f>IF(ISNUMBER(政策金额数据!F20),政策金额数据!F20,"")</f>
        <v>150</v>
      </c>
      <c r="Q67" s="1" t="str">
        <f>政策金额数据!G20</f>
        <v>50 / 100 / 150</v>
      </c>
      <c r="R67" s="1">
        <f>COUNTIFS($P$63:$P$68,"&lt;"&amp;P67)+COUNTIFS($P$63:P67,P67)</f>
        <v>5</v>
      </c>
      <c r="S67" s="1">
        <v>15</v>
      </c>
      <c r="T67" s="1"/>
      <c r="U67" s="1"/>
      <c r="V67" s="1"/>
    </row>
    <row r="68" spans="1:22" ht="27" customHeight="1">
      <c r="A68" s="1" t="str">
        <f t="shared" si="5"/>
        <v>昆山</v>
      </c>
      <c r="B68" s="10">
        <f t="shared" si="6"/>
        <v>100</v>
      </c>
      <c r="C68" s="10">
        <f t="shared" si="7"/>
        <v>200</v>
      </c>
      <c r="D68" s="1" t="str">
        <f t="shared" si="8"/>
        <v>100 / 200</v>
      </c>
      <c r="E68" s="1">
        <v>6</v>
      </c>
      <c r="F68" s="1">
        <f t="shared" si="9"/>
        <v>12</v>
      </c>
      <c r="G68" s="1"/>
      <c r="H68" s="1"/>
      <c r="I68" s="1"/>
      <c r="J68" s="1"/>
      <c r="K68" s="1"/>
      <c r="L68" s="1"/>
      <c r="M68" s="1"/>
      <c r="N68" s="1" t="s">
        <v>39</v>
      </c>
      <c r="O68" s="1">
        <f>IF(ISNUMBER(政策金额数据!E21),政策金额数据!E21,"")</f>
        <v>50</v>
      </c>
      <c r="P68" s="1">
        <f>IF(ISNUMBER(政策金额数据!F21),政策金额数据!F21,"")</f>
        <v>100</v>
      </c>
      <c r="Q68" s="1" t="str">
        <f>政策金额数据!G21</f>
        <v>50 / 80 / 100</v>
      </c>
      <c r="R68" s="1">
        <f>COUNTIFS($P$63:$P$68,"&lt;"&amp;P68)+COUNTIFS($P$63:P68,P68)</f>
        <v>4</v>
      </c>
      <c r="S68" s="1">
        <v>16</v>
      </c>
      <c r="T68" s="1"/>
      <c r="U68" s="1"/>
      <c r="V68" s="1"/>
    </row>
    <row r="69" spans="1:22" ht="25" customHeight="1">
      <c r="A69" s="1"/>
      <c r="B69" s="10"/>
      <c r="C69" s="10"/>
      <c r="D69" s="1"/>
      <c r="E69" s="1"/>
      <c r="F69" s="1"/>
      <c r="G69" s="1"/>
      <c r="H69" s="1"/>
      <c r="I69" s="1"/>
      <c r="J69" s="1"/>
      <c r="K69" s="1"/>
      <c r="L69" s="1"/>
      <c r="M69" s="1"/>
      <c r="N69" s="1"/>
      <c r="O69" s="1"/>
      <c r="P69" s="1"/>
      <c r="Q69" s="1"/>
      <c r="R69" s="1"/>
      <c r="S69" s="1"/>
      <c r="T69" s="1"/>
      <c r="U69" s="1"/>
      <c r="V69" s="1"/>
    </row>
    <row r="70" spans="1:22" ht="25" customHeight="1">
      <c r="A70" s="1"/>
      <c r="B70" s="10"/>
      <c r="C70" s="10"/>
      <c r="D70" s="1"/>
      <c r="E70" s="1"/>
      <c r="F70" s="1"/>
      <c r="G70" s="1"/>
      <c r="H70" s="1"/>
      <c r="I70" s="1"/>
      <c r="J70" s="1"/>
      <c r="K70" s="1"/>
      <c r="L70" s="1"/>
      <c r="M70" s="1"/>
      <c r="N70" s="1"/>
      <c r="O70" s="1"/>
      <c r="P70" s="1"/>
      <c r="Q70" s="1"/>
      <c r="R70" s="1"/>
      <c r="S70" s="1"/>
      <c r="T70" s="1"/>
      <c r="U70" s="1"/>
      <c r="V70" s="1"/>
    </row>
    <row r="71" spans="1:22" ht="25" customHeight="1">
      <c r="A71" s="1"/>
      <c r="B71" s="1"/>
      <c r="C71" s="1"/>
      <c r="D71" s="1"/>
      <c r="E71" s="1"/>
      <c r="F71" s="1"/>
      <c r="G71" s="1"/>
      <c r="H71" s="1"/>
      <c r="I71" s="1"/>
      <c r="J71" s="1"/>
      <c r="K71" s="1"/>
      <c r="L71" s="1"/>
      <c r="M71" s="1"/>
      <c r="N71" s="1"/>
      <c r="O71" s="1"/>
      <c r="P71" s="1"/>
      <c r="Q71" s="1"/>
      <c r="R71" s="1"/>
      <c r="S71" s="1"/>
      <c r="T71" s="1"/>
      <c r="U71" s="1"/>
      <c r="V71" s="1"/>
    </row>
    <row r="72" spans="1:22" ht="25" customHeight="1">
      <c r="A72" s="1"/>
      <c r="B72" s="1"/>
      <c r="C72" s="1"/>
      <c r="D72" s="1"/>
      <c r="E72" s="1"/>
      <c r="F72" s="1"/>
      <c r="G72" s="1"/>
      <c r="H72" s="1"/>
      <c r="I72" s="1"/>
      <c r="J72" s="1"/>
      <c r="K72" s="1"/>
      <c r="L72" s="1"/>
      <c r="M72" s="1"/>
      <c r="N72" s="1"/>
      <c r="O72" s="1"/>
      <c r="P72" s="1"/>
      <c r="Q72" s="1"/>
      <c r="R72" s="1"/>
      <c r="S72" s="1"/>
      <c r="T72" s="1"/>
      <c r="U72" s="1"/>
      <c r="V72" s="1"/>
    </row>
    <row r="73" spans="1:22" ht="25" customHeight="1">
      <c r="A73" s="1"/>
      <c r="B73" s="1"/>
      <c r="C73" s="1"/>
      <c r="D73" s="1"/>
      <c r="E73" s="1"/>
      <c r="F73" s="1"/>
      <c r="G73" s="1"/>
      <c r="H73" s="1"/>
      <c r="I73" s="1"/>
      <c r="J73" s="1"/>
      <c r="K73" s="1"/>
      <c r="L73" s="1"/>
      <c r="M73" s="1"/>
      <c r="N73" s="1"/>
      <c r="O73" s="1"/>
      <c r="P73" s="1"/>
      <c r="Q73" s="1"/>
      <c r="R73" s="1"/>
      <c r="S73" s="1"/>
      <c r="T73" s="1"/>
      <c r="U73" s="1"/>
      <c r="V73" s="1"/>
    </row>
    <row r="74" spans="1:22" ht="25" customHeight="1">
      <c r="A74" s="1"/>
      <c r="B74" s="1"/>
      <c r="C74" s="1"/>
      <c r="D74" s="1"/>
      <c r="E74" s="1"/>
      <c r="F74" s="1"/>
      <c r="G74" s="1"/>
      <c r="H74" s="1"/>
      <c r="I74" s="1"/>
      <c r="J74" s="1"/>
      <c r="K74" s="1"/>
      <c r="L74" s="1"/>
      <c r="M74" s="1"/>
      <c r="N74" s="1"/>
      <c r="O74" s="1"/>
      <c r="P74" s="1"/>
      <c r="Q74" s="1"/>
      <c r="R74" s="1"/>
      <c r="S74" s="1"/>
      <c r="T74" s="1"/>
      <c r="U74" s="1"/>
      <c r="V74" s="1"/>
    </row>
    <row r="75" spans="1:22" ht="25" customHeight="1">
      <c r="A75" s="7" t="s">
        <v>166</v>
      </c>
      <c r="B75" s="1"/>
      <c r="C75" s="1"/>
      <c r="D75" s="1"/>
      <c r="E75" s="1"/>
      <c r="F75" s="1"/>
      <c r="G75" s="1"/>
      <c r="H75" s="1"/>
      <c r="I75" s="1"/>
      <c r="J75" s="1"/>
      <c r="K75" s="1"/>
      <c r="L75" s="1"/>
      <c r="M75" s="1"/>
      <c r="N75" s="1"/>
      <c r="O75" s="1"/>
      <c r="P75" s="1"/>
      <c r="Q75" s="1"/>
      <c r="R75" s="1"/>
      <c r="S75" s="1"/>
      <c r="T75" s="1"/>
      <c r="U75" s="1"/>
      <c r="V75" s="1"/>
    </row>
    <row r="76" spans="1:22" ht="25" customHeight="1">
      <c r="A76" s="1" t="s">
        <v>167</v>
      </c>
      <c r="B76" s="1"/>
      <c r="C76" s="1"/>
      <c r="D76" s="1"/>
      <c r="E76" s="1"/>
      <c r="F76" s="1"/>
      <c r="G76" s="1"/>
      <c r="H76" s="1"/>
      <c r="I76" s="1"/>
      <c r="J76" s="1"/>
      <c r="K76" s="1"/>
      <c r="L76" s="1"/>
      <c r="M76" s="1"/>
      <c r="N76" s="1"/>
      <c r="O76" s="1"/>
      <c r="P76" s="1"/>
      <c r="Q76" s="1"/>
      <c r="R76" s="1"/>
      <c r="S76" s="1"/>
      <c r="T76" s="1"/>
      <c r="U76" s="1"/>
      <c r="V76" s="1"/>
    </row>
    <row r="77" spans="1:22" ht="25" customHeight="1">
      <c r="A77" s="1"/>
      <c r="B77" s="1"/>
      <c r="C77" s="1"/>
      <c r="D77" s="1"/>
      <c r="E77" s="1"/>
      <c r="F77" s="1"/>
      <c r="G77" s="1"/>
      <c r="H77" s="1"/>
      <c r="I77" s="1"/>
      <c r="J77" s="1"/>
      <c r="K77" s="1"/>
      <c r="L77" s="1"/>
      <c r="M77" s="1"/>
      <c r="N77" s="1"/>
      <c r="O77" s="1"/>
      <c r="P77" s="1"/>
      <c r="Q77" s="1"/>
      <c r="R77" s="1"/>
      <c r="S77" s="1"/>
      <c r="T77" s="1"/>
      <c r="U77" s="1"/>
      <c r="V77" s="1"/>
    </row>
    <row r="78" spans="1:22" ht="25" customHeight="1">
      <c r="A78" s="1"/>
      <c r="B78" s="1"/>
      <c r="C78" s="1"/>
      <c r="D78" s="1"/>
      <c r="E78" s="1"/>
      <c r="F78" s="1"/>
      <c r="G78" s="1"/>
      <c r="H78" s="1"/>
      <c r="I78" s="1"/>
      <c r="J78" s="1"/>
      <c r="K78" s="1"/>
      <c r="L78" s="1"/>
      <c r="M78" s="1"/>
      <c r="N78" s="1"/>
      <c r="O78" s="1"/>
      <c r="P78" s="1"/>
      <c r="Q78" s="1"/>
      <c r="R78" s="1"/>
      <c r="S78" s="1"/>
      <c r="T78" s="1"/>
      <c r="U78" s="1"/>
      <c r="V78" s="1"/>
    </row>
    <row r="79" spans="1:22" ht="25" customHeight="1">
      <c r="A79" s="1"/>
      <c r="B79" s="1"/>
      <c r="C79" s="1"/>
      <c r="D79" s="1"/>
      <c r="E79" s="1"/>
      <c r="F79" s="1"/>
      <c r="G79" s="1"/>
      <c r="H79" s="1"/>
      <c r="I79" s="1"/>
      <c r="J79" s="1"/>
      <c r="K79" s="1"/>
      <c r="L79" s="1"/>
      <c r="M79" s="1"/>
      <c r="N79" s="1"/>
      <c r="O79" s="1"/>
      <c r="P79" s="1"/>
      <c r="Q79" s="1"/>
      <c r="R79" s="1"/>
      <c r="S79" s="1"/>
      <c r="T79" s="1"/>
      <c r="U79" s="1"/>
      <c r="V79" s="1"/>
    </row>
    <row r="80" spans="1:22" ht="25" customHeight="1">
      <c r="A80" s="1"/>
      <c r="B80" s="1"/>
      <c r="C80" s="1"/>
      <c r="D80" s="1"/>
      <c r="E80" s="1"/>
      <c r="F80" s="1"/>
      <c r="G80" s="1"/>
      <c r="H80" s="1"/>
      <c r="I80" s="1"/>
      <c r="J80" s="1"/>
      <c r="K80" s="1"/>
      <c r="L80" s="1"/>
      <c r="M80" s="1"/>
      <c r="N80" s="1"/>
      <c r="O80" s="1"/>
      <c r="P80" s="1"/>
      <c r="Q80" s="1"/>
      <c r="R80" s="1"/>
      <c r="S80" s="1"/>
      <c r="T80" s="1"/>
      <c r="U80" s="1"/>
      <c r="V80" s="1"/>
    </row>
    <row r="81" spans="1:22" ht="25" customHeight="1">
      <c r="A81" s="1"/>
      <c r="B81" s="1"/>
      <c r="C81" s="1"/>
      <c r="D81" s="1"/>
      <c r="E81" s="1"/>
      <c r="F81" s="1"/>
      <c r="G81" s="1"/>
      <c r="H81" s="1"/>
      <c r="I81" s="1"/>
      <c r="J81" s="1"/>
      <c r="K81" s="1"/>
      <c r="L81" s="1"/>
      <c r="M81" s="1"/>
      <c r="N81" s="1"/>
      <c r="O81" s="1"/>
      <c r="P81" s="1"/>
      <c r="Q81" s="1"/>
      <c r="R81" s="1"/>
      <c r="S81" s="1"/>
      <c r="T81" s="1"/>
      <c r="U81" s="1"/>
      <c r="V81" s="1"/>
    </row>
    <row r="82" spans="1:22" ht="25" customHeight="1">
      <c r="A82" s="1"/>
      <c r="B82" s="1"/>
      <c r="C82" s="1"/>
      <c r="D82" s="1"/>
      <c r="E82" s="1"/>
      <c r="F82" s="1"/>
      <c r="G82" s="1"/>
      <c r="H82" s="1"/>
      <c r="I82" s="1"/>
      <c r="J82" s="1"/>
      <c r="K82" s="1"/>
      <c r="L82" s="1"/>
      <c r="M82" s="1"/>
      <c r="N82" s="1"/>
      <c r="O82" s="1"/>
      <c r="P82" s="1"/>
      <c r="Q82" s="1"/>
      <c r="R82" s="1"/>
      <c r="S82" s="1"/>
      <c r="T82" s="1"/>
      <c r="U82" s="1"/>
      <c r="V82" s="1"/>
    </row>
    <row r="83" spans="1:22" ht="25" customHeight="1">
      <c r="A83" s="1"/>
      <c r="B83" s="1"/>
      <c r="C83" s="1"/>
      <c r="D83" s="1"/>
      <c r="E83" s="1"/>
      <c r="F83" s="1"/>
      <c r="G83" s="1"/>
      <c r="H83" s="1"/>
      <c r="I83" s="1"/>
      <c r="J83" s="1"/>
      <c r="K83" s="1"/>
      <c r="L83" s="1"/>
      <c r="M83" s="1"/>
      <c r="N83" s="1"/>
      <c r="O83" s="1"/>
      <c r="P83" s="1"/>
      <c r="Q83" s="1"/>
      <c r="R83" s="1"/>
      <c r="S83" s="1"/>
      <c r="T83" s="1"/>
      <c r="U83" s="1"/>
      <c r="V83" s="1"/>
    </row>
    <row r="84" spans="1:22" ht="25" customHeight="1">
      <c r="A84" s="1"/>
      <c r="B84" s="1"/>
      <c r="C84" s="1"/>
      <c r="D84" s="1"/>
      <c r="E84" s="1"/>
      <c r="F84" s="1"/>
      <c r="G84" s="1"/>
      <c r="H84" s="1"/>
      <c r="I84" s="1"/>
      <c r="J84" s="1"/>
      <c r="K84" s="1"/>
      <c r="L84" s="1"/>
      <c r="M84" s="1"/>
      <c r="N84" s="1"/>
      <c r="O84" s="1"/>
      <c r="P84" s="1"/>
      <c r="Q84" s="1"/>
      <c r="R84" s="1"/>
      <c r="S84" s="1"/>
      <c r="T84" s="1"/>
      <c r="U84" s="1"/>
      <c r="V84" s="1"/>
    </row>
    <row r="85" spans="1:22" ht="25" customHeight="1">
      <c r="A85" s="1"/>
      <c r="B85" s="1"/>
      <c r="C85" s="1"/>
      <c r="D85" s="1"/>
      <c r="E85" s="1"/>
      <c r="F85" s="1"/>
      <c r="G85" s="1"/>
      <c r="H85" s="1"/>
      <c r="I85" s="1"/>
      <c r="J85" s="1"/>
      <c r="K85" s="1"/>
      <c r="L85" s="1"/>
      <c r="M85" s="1"/>
      <c r="N85" s="1"/>
      <c r="O85" s="1"/>
      <c r="P85" s="1"/>
      <c r="Q85" s="1"/>
      <c r="R85" s="1"/>
      <c r="S85" s="1"/>
      <c r="T85" s="1"/>
      <c r="U85" s="1"/>
      <c r="V85" s="1"/>
    </row>
    <row r="86" spans="1:22" ht="25" customHeight="1">
      <c r="A86" s="1"/>
      <c r="B86" s="1"/>
      <c r="C86" s="1"/>
      <c r="D86" s="1"/>
      <c r="E86" s="1"/>
      <c r="F86" s="1"/>
      <c r="G86" s="1"/>
      <c r="H86" s="1"/>
      <c r="I86" s="1"/>
      <c r="J86" s="1"/>
      <c r="K86" s="1"/>
      <c r="L86" s="1"/>
      <c r="M86" s="1"/>
      <c r="N86" s="1"/>
      <c r="O86" s="1"/>
      <c r="P86" s="1"/>
      <c r="Q86" s="1"/>
      <c r="R86" s="1"/>
      <c r="S86" s="1"/>
      <c r="T86" s="1"/>
      <c r="U86" s="1"/>
      <c r="V86" s="1"/>
    </row>
    <row r="87" spans="1:22" ht="25" customHeight="1">
      <c r="A87" s="1"/>
      <c r="B87" s="1"/>
      <c r="C87" s="1"/>
      <c r="D87" s="1"/>
      <c r="E87" s="1"/>
      <c r="F87" s="1"/>
      <c r="G87" s="1"/>
      <c r="H87" s="1"/>
      <c r="I87" s="1"/>
      <c r="J87" s="1"/>
      <c r="K87" s="1"/>
      <c r="L87" s="1"/>
      <c r="M87" s="1"/>
      <c r="N87" s="1"/>
      <c r="O87" s="1"/>
      <c r="P87" s="1"/>
      <c r="Q87" s="1"/>
      <c r="R87" s="1"/>
      <c r="S87" s="1"/>
      <c r="T87" s="1"/>
      <c r="U87" s="1"/>
      <c r="V87" s="1"/>
    </row>
    <row r="88" spans="1:22" ht="25" customHeight="1">
      <c r="A88" s="1"/>
      <c r="B88" s="1"/>
      <c r="C88" s="1"/>
      <c r="D88" s="1"/>
      <c r="E88" s="1"/>
      <c r="F88" s="1"/>
      <c r="G88" s="1"/>
      <c r="H88" s="1"/>
      <c r="I88" s="1"/>
      <c r="J88" s="1"/>
      <c r="K88" s="1"/>
      <c r="L88" s="1"/>
      <c r="M88" s="1"/>
      <c r="N88" s="1"/>
      <c r="O88" s="1"/>
      <c r="P88" s="1"/>
      <c r="Q88" s="1"/>
      <c r="R88" s="1"/>
      <c r="S88" s="1"/>
      <c r="T88" s="1"/>
      <c r="U88" s="1"/>
      <c r="V88" s="1"/>
    </row>
    <row r="89" spans="1:22" ht="25" customHeight="1">
      <c r="A89" s="1"/>
      <c r="B89" s="1"/>
      <c r="C89" s="1"/>
      <c r="D89" s="1"/>
      <c r="E89" s="1"/>
      <c r="F89" s="1"/>
      <c r="G89" s="1"/>
      <c r="H89" s="1"/>
      <c r="I89" s="1"/>
      <c r="J89" s="1"/>
      <c r="K89" s="1"/>
      <c r="L89" s="1"/>
      <c r="M89" s="1"/>
      <c r="N89" s="1"/>
      <c r="O89" s="1"/>
      <c r="P89" s="1"/>
      <c r="Q89" s="1"/>
      <c r="R89" s="1"/>
      <c r="S89" s="1"/>
      <c r="T89" s="1"/>
      <c r="U89" s="1"/>
      <c r="V89" s="1"/>
    </row>
    <row r="90" spans="1:22" ht="25" customHeight="1">
      <c r="A90" s="1"/>
      <c r="B90" s="1"/>
      <c r="C90" s="1"/>
      <c r="D90" s="1"/>
      <c r="E90" s="1"/>
      <c r="F90" s="1"/>
      <c r="G90" s="1"/>
      <c r="H90" s="1"/>
      <c r="I90" s="1"/>
      <c r="J90" s="1"/>
      <c r="K90" s="1"/>
      <c r="L90" s="1"/>
      <c r="M90" s="1"/>
      <c r="N90" s="1"/>
      <c r="O90" s="1"/>
      <c r="P90" s="1"/>
      <c r="Q90" s="1"/>
      <c r="R90" s="1"/>
      <c r="S90" s="1"/>
      <c r="T90" s="1"/>
      <c r="U90" s="1"/>
      <c r="V90" s="1"/>
    </row>
    <row r="91" spans="1:22" ht="25" customHeight="1">
      <c r="A91" s="1"/>
      <c r="B91" s="1"/>
      <c r="C91" s="1"/>
      <c r="D91" s="1"/>
      <c r="E91" s="1"/>
      <c r="F91" s="1"/>
      <c r="G91" s="1"/>
      <c r="H91" s="1"/>
      <c r="I91" s="1"/>
      <c r="J91" s="1"/>
      <c r="K91" s="1"/>
      <c r="L91" s="1"/>
      <c r="M91" s="1"/>
      <c r="N91" s="1"/>
      <c r="O91" s="1"/>
      <c r="P91" s="1"/>
      <c r="Q91" s="1"/>
      <c r="R91" s="1"/>
      <c r="S91" s="1"/>
      <c r="T91" s="1"/>
      <c r="U91" s="1"/>
      <c r="V91" s="1"/>
    </row>
    <row r="92" spans="1:22" ht="25" customHeight="1">
      <c r="A92" s="1"/>
      <c r="B92" s="1"/>
      <c r="C92" s="1"/>
      <c r="D92" s="1"/>
      <c r="E92" s="1"/>
      <c r="F92" s="1"/>
      <c r="G92" s="1"/>
      <c r="H92" s="1"/>
      <c r="I92" s="1"/>
      <c r="J92" s="1"/>
      <c r="K92" s="1"/>
      <c r="L92" s="1"/>
      <c r="M92" s="1"/>
      <c r="N92" s="1"/>
      <c r="O92" s="1"/>
      <c r="P92" s="1"/>
      <c r="Q92" s="1"/>
      <c r="R92" s="1"/>
      <c r="S92" s="1"/>
      <c r="T92" s="1"/>
      <c r="U92" s="1"/>
      <c r="V92" s="1"/>
    </row>
    <row r="93" spans="1:22" ht="25" customHeight="1">
      <c r="A93" s="1"/>
      <c r="B93" s="1"/>
      <c r="C93" s="1"/>
      <c r="D93" s="1"/>
      <c r="E93" s="1"/>
      <c r="F93" s="1"/>
      <c r="G93" s="1"/>
      <c r="H93" s="1"/>
      <c r="I93" s="1"/>
      <c r="J93" s="1"/>
      <c r="K93" s="1"/>
      <c r="L93" s="1"/>
      <c r="M93" s="1"/>
      <c r="N93" s="1"/>
      <c r="O93" s="1"/>
      <c r="P93" s="1"/>
      <c r="Q93" s="1"/>
      <c r="R93" s="1"/>
      <c r="S93" s="1"/>
      <c r="T93" s="1"/>
      <c r="U93" s="1"/>
      <c r="V93" s="1"/>
    </row>
    <row r="94" spans="1:22" ht="25" customHeight="1">
      <c r="A94" s="1"/>
      <c r="B94" s="1"/>
      <c r="C94" s="1"/>
      <c r="D94" s="1"/>
      <c r="E94" s="1"/>
      <c r="F94" s="1"/>
      <c r="G94" s="1"/>
      <c r="H94" s="1"/>
      <c r="I94" s="1"/>
      <c r="J94" s="1"/>
      <c r="K94" s="1"/>
      <c r="L94" s="1"/>
      <c r="M94" s="1"/>
      <c r="N94" s="1"/>
      <c r="O94" s="1"/>
      <c r="P94" s="1"/>
      <c r="Q94" s="1"/>
      <c r="R94" s="1"/>
      <c r="S94" s="1"/>
      <c r="T94" s="1"/>
      <c r="U94" s="1"/>
      <c r="V94" s="1"/>
    </row>
    <row r="95" spans="1:22" ht="25" customHeight="1">
      <c r="A95" s="1"/>
      <c r="B95" s="1"/>
      <c r="C95" s="1"/>
      <c r="D95" s="1"/>
      <c r="E95" s="1"/>
      <c r="F95" s="1"/>
      <c r="G95" s="1"/>
      <c r="H95" s="1"/>
      <c r="I95" s="1"/>
      <c r="J95" s="1"/>
      <c r="K95" s="1"/>
      <c r="L95" s="1"/>
      <c r="M95" s="1"/>
      <c r="N95" s="1"/>
      <c r="O95" s="1"/>
      <c r="P95" s="1"/>
      <c r="Q95" s="1"/>
      <c r="R95" s="1"/>
      <c r="S95" s="1"/>
      <c r="T95" s="1"/>
      <c r="U95" s="1"/>
      <c r="V95" s="1"/>
    </row>
    <row r="96" spans="1:22" ht="25" customHeight="1">
      <c r="A96" s="1"/>
      <c r="B96" s="1"/>
      <c r="C96" s="1"/>
      <c r="D96" s="1"/>
      <c r="E96" s="1"/>
      <c r="F96" s="1"/>
      <c r="G96" s="1"/>
      <c r="H96" s="1"/>
      <c r="I96" s="1"/>
      <c r="J96" s="1"/>
      <c r="K96" s="1"/>
      <c r="L96" s="1"/>
      <c r="M96" s="1"/>
      <c r="N96" s="1"/>
      <c r="O96" s="1"/>
      <c r="P96" s="1"/>
      <c r="Q96" s="1"/>
      <c r="R96" s="1"/>
      <c r="S96" s="1"/>
      <c r="T96" s="1"/>
      <c r="U96" s="1"/>
      <c r="V96" s="1"/>
    </row>
    <row r="97" spans="1:22" ht="32" customHeight="1">
      <c r="A97" s="8" t="s">
        <v>2</v>
      </c>
      <c r="B97" s="8" t="s">
        <v>154</v>
      </c>
      <c r="C97" s="8" t="s">
        <v>155</v>
      </c>
      <c r="D97" s="8" t="s">
        <v>156</v>
      </c>
      <c r="E97" s="8" t="s">
        <v>157</v>
      </c>
      <c r="F97" s="8" t="s">
        <v>158</v>
      </c>
      <c r="G97" s="1"/>
      <c r="H97" s="1"/>
      <c r="I97" s="1"/>
      <c r="J97" s="1"/>
      <c r="K97" s="1"/>
      <c r="L97" s="1"/>
      <c r="M97" s="1"/>
      <c r="N97" s="9" t="s">
        <v>159</v>
      </c>
      <c r="O97" s="9" t="s">
        <v>154</v>
      </c>
      <c r="P97" s="9" t="s">
        <v>155</v>
      </c>
      <c r="Q97" s="9" t="s">
        <v>156</v>
      </c>
      <c r="R97" s="9" t="s">
        <v>160</v>
      </c>
      <c r="S97" s="9" t="s">
        <v>158</v>
      </c>
      <c r="T97" s="1"/>
      <c r="U97" s="1"/>
      <c r="V97" s="1"/>
    </row>
    <row r="98" spans="1:22" ht="27" customHeight="1">
      <c r="A98" s="1" t="str">
        <f>INDEX(N$98:N$102,MATCH(E98,$R$98:$R$102,0))</f>
        <v>高新区</v>
      </c>
      <c r="B98" s="10">
        <f>INDEX(O$98:O$102,MATCH(E98,$R$98:$R$102,0))</f>
        <v>400</v>
      </c>
      <c r="C98" s="10">
        <f>INDEX(P$98:P$102,MATCH(E98,$R$98:$R$102,0))</f>
        <v>600</v>
      </c>
      <c r="D98" s="1" t="str">
        <f>INDEX(Q$98:Q$102,MATCH(E98,$R$98:$R$102,0))</f>
        <v>400 / 500 / 600</v>
      </c>
      <c r="E98" s="1">
        <v>1</v>
      </c>
      <c r="F98" s="1">
        <f>INDEX(S$98:S$102,MATCH(E98,$R$98:$R$102,0))</f>
        <v>22</v>
      </c>
      <c r="G98" s="1"/>
      <c r="H98" s="1"/>
      <c r="I98" s="1"/>
      <c r="J98" s="1"/>
      <c r="K98" s="1"/>
      <c r="L98" s="1"/>
      <c r="M98" s="1"/>
      <c r="N98" s="1" t="s">
        <v>161</v>
      </c>
      <c r="O98" s="1">
        <f>IF(ISNUMBER(政策金额数据!E22),政策金额数据!E22,"")</f>
        <v>300</v>
      </c>
      <c r="P98" s="1">
        <f>IF(ISNUMBER(政策金额数据!F22),政策金额数据!F22,"")</f>
        <v>1000</v>
      </c>
      <c r="Q98" s="1" t="str">
        <f>政策金额数据!G22</f>
        <v>300—1000</v>
      </c>
      <c r="R98" s="1">
        <f>COUNTIFS($P$98:$P$102,"&lt;"&amp;P98)+COUNTIFS($P$98:P98,P98)</f>
        <v>3</v>
      </c>
      <c r="S98" s="1">
        <v>17</v>
      </c>
      <c r="T98" s="1"/>
      <c r="U98" s="1"/>
      <c r="V98" s="1"/>
    </row>
    <row r="99" spans="1:22" ht="27" customHeight="1">
      <c r="A99" s="1" t="str">
        <f>INDEX(N$98:N$102,MATCH(E99,$R$98:$R$102,0))</f>
        <v>相城</v>
      </c>
      <c r="B99" s="10">
        <f>INDEX(O$98:O$102,MATCH(E99,$R$98:$R$102,0))</f>
        <v>400</v>
      </c>
      <c r="C99" s="10">
        <f>INDEX(P$98:P$102,MATCH(E99,$R$98:$R$102,0))</f>
        <v>800</v>
      </c>
      <c r="D99" s="1" t="str">
        <f>INDEX(Q$98:Q$102,MATCH(E99,$R$98:$R$102,0))</f>
        <v>400 / 600 / 800</v>
      </c>
      <c r="E99" s="1">
        <v>2</v>
      </c>
      <c r="F99" s="1">
        <f>INDEX(S$98:S$102,MATCH(E99,$R$98:$R$102,0))</f>
        <v>24</v>
      </c>
      <c r="G99" s="1"/>
      <c r="H99" s="1"/>
      <c r="I99" s="1"/>
      <c r="J99" s="1"/>
      <c r="K99" s="1"/>
      <c r="L99" s="1"/>
      <c r="M99" s="1"/>
      <c r="N99" s="1" t="s">
        <v>21</v>
      </c>
      <c r="O99" s="1">
        <f>IF(ISNUMBER(政策金额数据!E25),政策金额数据!E25,"")</f>
        <v>400</v>
      </c>
      <c r="P99" s="1">
        <f>IF(ISNUMBER(政策金额数据!F25),政策金额数据!F25,"")</f>
        <v>1000</v>
      </c>
      <c r="Q99" s="1" t="str">
        <f>政策金额数据!G25</f>
        <v>400 / 500 / 1000</v>
      </c>
      <c r="R99" s="1">
        <f>COUNTIFS($P$98:$P$102,"&lt;"&amp;P99)+COUNTIFS($P$98:P99,P99)</f>
        <v>4</v>
      </c>
      <c r="S99" s="1">
        <v>20</v>
      </c>
      <c r="T99" s="1"/>
      <c r="U99" s="1"/>
      <c r="V99" s="1"/>
    </row>
    <row r="100" spans="1:22" ht="27" customHeight="1">
      <c r="A100" s="1" t="str">
        <f>INDEX(N$98:N$102,MATCH(E100,$R$98:$R$102,0))</f>
        <v>吴中</v>
      </c>
      <c r="B100" s="10">
        <f>INDEX(O$98:O$102,MATCH(E100,$R$98:$R$102,0))</f>
        <v>300</v>
      </c>
      <c r="C100" s="10">
        <f>INDEX(P$98:P$102,MATCH(E100,$R$98:$R$102,0))</f>
        <v>1000</v>
      </c>
      <c r="D100" s="1" t="str">
        <f>INDEX(Q$98:Q$102,MATCH(E100,$R$98:$R$102,0))</f>
        <v>300—1000</v>
      </c>
      <c r="E100" s="1">
        <v>3</v>
      </c>
      <c r="F100" s="1">
        <f>INDEX(S$98:S$102,MATCH(E100,$R$98:$R$102,0))</f>
        <v>17</v>
      </c>
      <c r="G100" s="1"/>
      <c r="H100" s="1"/>
      <c r="I100" s="1"/>
      <c r="J100" s="1"/>
      <c r="K100" s="1"/>
      <c r="L100" s="1"/>
      <c r="M100" s="1"/>
      <c r="N100" s="1" t="s">
        <v>31</v>
      </c>
      <c r="O100" s="1">
        <f>IF(ISNUMBER(政策金额数据!E27),政策金额数据!E27,"")</f>
        <v>400</v>
      </c>
      <c r="P100" s="1">
        <f>IF(ISNUMBER(政策金额数据!F27),政策金额数据!F27,"")</f>
        <v>600</v>
      </c>
      <c r="Q100" s="1" t="str">
        <f>政策金额数据!G27</f>
        <v>400 / 500 / 600</v>
      </c>
      <c r="R100" s="1">
        <f>COUNTIFS($P$98:$P$102,"&lt;"&amp;P100)+COUNTIFS($P$98:P100,P100)</f>
        <v>1</v>
      </c>
      <c r="S100" s="1">
        <v>22</v>
      </c>
      <c r="T100" s="1"/>
      <c r="U100" s="1"/>
      <c r="V100" s="1"/>
    </row>
    <row r="101" spans="1:22" ht="27" customHeight="1">
      <c r="A101" s="1" t="str">
        <f>INDEX(N$98:N$102,MATCH(E101,$R$98:$R$102,0))</f>
        <v>昆山</v>
      </c>
      <c r="B101" s="10">
        <f>INDEX(O$98:O$102,MATCH(E101,$R$98:$R$102,0))</f>
        <v>400</v>
      </c>
      <c r="C101" s="10">
        <f>INDEX(P$98:P$102,MATCH(E101,$R$98:$R$102,0))</f>
        <v>1000</v>
      </c>
      <c r="D101" s="1" t="str">
        <f>INDEX(Q$98:Q$102,MATCH(E101,$R$98:$R$102,0))</f>
        <v>400 / 500 / 1000</v>
      </c>
      <c r="E101" s="1">
        <v>4</v>
      </c>
      <c r="F101" s="1">
        <f>INDEX(S$98:S$102,MATCH(E101,$R$98:$R$102,0))</f>
        <v>20</v>
      </c>
      <c r="G101" s="1"/>
      <c r="H101" s="1"/>
      <c r="I101" s="1"/>
      <c r="J101" s="1"/>
      <c r="K101" s="1"/>
      <c r="L101" s="1"/>
      <c r="M101" s="1"/>
      <c r="N101" s="1" t="s">
        <v>35</v>
      </c>
      <c r="O101" s="1">
        <f>IF(ISNUMBER(政策金额数据!E28),政策金额数据!E28,"")</f>
        <v>300</v>
      </c>
      <c r="P101" s="1">
        <f>IF(ISNUMBER(政策金额数据!F28),政策金额数据!F28,"")</f>
        <v>1000</v>
      </c>
      <c r="Q101" s="1" t="str">
        <f>政策金额数据!G28</f>
        <v>300 / 500 / 1000</v>
      </c>
      <c r="R101" s="1">
        <f>COUNTIFS($P$98:$P$102,"&lt;"&amp;P101)+COUNTIFS($P$98:P101,P101)</f>
        <v>5</v>
      </c>
      <c r="S101" s="1">
        <v>23</v>
      </c>
      <c r="T101" s="1"/>
      <c r="U101" s="1"/>
      <c r="V101" s="1"/>
    </row>
    <row r="102" spans="1:22" ht="27" customHeight="1">
      <c r="A102" s="1" t="str">
        <f>INDEX(N$98:N$102,MATCH(E102,$R$98:$R$102,0))</f>
        <v>吴江</v>
      </c>
      <c r="B102" s="10">
        <f>INDEX(O$98:O$102,MATCH(E102,$R$98:$R$102,0))</f>
        <v>300</v>
      </c>
      <c r="C102" s="10">
        <f>INDEX(P$98:P$102,MATCH(E102,$R$98:$R$102,0))</f>
        <v>1000</v>
      </c>
      <c r="D102" s="1" t="str">
        <f>INDEX(Q$98:Q$102,MATCH(E102,$R$98:$R$102,0))</f>
        <v>300 / 500 / 1000</v>
      </c>
      <c r="E102" s="1">
        <v>5</v>
      </c>
      <c r="F102" s="1">
        <f>INDEX(S$98:S$102,MATCH(E102,$R$98:$R$102,0))</f>
        <v>23</v>
      </c>
      <c r="G102" s="1"/>
      <c r="H102" s="1"/>
      <c r="I102" s="1"/>
      <c r="J102" s="1"/>
      <c r="K102" s="1"/>
      <c r="L102" s="1"/>
      <c r="M102" s="1"/>
      <c r="N102" s="1" t="s">
        <v>39</v>
      </c>
      <c r="O102" s="1">
        <f>IF(ISNUMBER(政策金额数据!E29),政策金额数据!E29,"")</f>
        <v>400</v>
      </c>
      <c r="P102" s="1">
        <f>IF(ISNUMBER(政策金额数据!F29),政策金额数据!F29,"")</f>
        <v>800</v>
      </c>
      <c r="Q102" s="1" t="str">
        <f>政策金额数据!G29</f>
        <v>400 / 600 / 800</v>
      </c>
      <c r="R102" s="1">
        <f>COUNTIFS($P$98:$P$102,"&lt;"&amp;P102)+COUNTIFS($P$98:P102,P102)</f>
        <v>2</v>
      </c>
      <c r="S102" s="1">
        <v>24</v>
      </c>
      <c r="T102" s="1"/>
      <c r="U102" s="1"/>
      <c r="V102" s="1"/>
    </row>
    <row r="103" spans="1:22" ht="25" customHeight="1">
      <c r="A103" s="1"/>
      <c r="B103" s="10"/>
      <c r="C103" s="10"/>
      <c r="D103" s="1"/>
      <c r="E103" s="1"/>
      <c r="F103" s="1"/>
      <c r="G103" s="1"/>
      <c r="H103" s="1"/>
      <c r="I103" s="1"/>
      <c r="J103" s="1"/>
      <c r="K103" s="1"/>
      <c r="L103" s="1"/>
      <c r="M103" s="1"/>
      <c r="N103" s="1"/>
      <c r="O103" s="1"/>
      <c r="P103" s="1"/>
      <c r="Q103" s="1"/>
      <c r="R103" s="1"/>
      <c r="S103" s="1"/>
      <c r="T103" s="1"/>
      <c r="U103" s="1"/>
      <c r="V103" s="1"/>
    </row>
    <row r="104" spans="1:22" ht="25" customHeight="1">
      <c r="A104" s="1"/>
      <c r="B104" s="10"/>
      <c r="C104" s="10"/>
      <c r="D104" s="1"/>
      <c r="E104" s="1"/>
      <c r="F104" s="1"/>
      <c r="G104" s="1"/>
      <c r="H104" s="1"/>
      <c r="I104" s="1"/>
      <c r="J104" s="1"/>
      <c r="K104" s="1"/>
      <c r="L104" s="1"/>
      <c r="M104" s="1"/>
      <c r="N104" s="1"/>
      <c r="O104" s="1"/>
      <c r="P104" s="1"/>
      <c r="Q104" s="1"/>
      <c r="R104" s="1"/>
      <c r="S104" s="1"/>
      <c r="T104" s="1"/>
      <c r="U104" s="1"/>
      <c r="V104" s="1"/>
    </row>
    <row r="105" spans="1:22" ht="25" customHeight="1">
      <c r="A105" s="1"/>
      <c r="B105" s="10"/>
      <c r="C105" s="10"/>
      <c r="D105" s="1"/>
      <c r="E105" s="1"/>
      <c r="F105" s="1"/>
      <c r="G105" s="1"/>
      <c r="H105" s="1"/>
      <c r="I105" s="1"/>
      <c r="J105" s="1"/>
      <c r="K105" s="1"/>
      <c r="L105" s="1"/>
      <c r="M105" s="1"/>
      <c r="N105" s="1"/>
      <c r="O105" s="1"/>
      <c r="P105" s="1"/>
      <c r="Q105" s="1"/>
      <c r="R105" s="1"/>
      <c r="S105" s="1"/>
      <c r="T105" s="1"/>
      <c r="U105" s="1"/>
      <c r="V105" s="1"/>
    </row>
    <row r="106" spans="1:22" ht="25" customHeight="1">
      <c r="A106" s="1"/>
      <c r="B106" s="1"/>
      <c r="C106" s="1"/>
      <c r="D106" s="1"/>
      <c r="E106" s="1"/>
      <c r="F106" s="1"/>
      <c r="G106" s="1"/>
      <c r="H106" s="1"/>
      <c r="I106" s="1"/>
      <c r="J106" s="1"/>
      <c r="K106" s="1"/>
      <c r="L106" s="1"/>
      <c r="M106" s="1"/>
      <c r="N106" s="1"/>
      <c r="O106" s="1"/>
      <c r="P106" s="1"/>
      <c r="Q106" s="1"/>
      <c r="R106" s="1"/>
      <c r="S106" s="1"/>
      <c r="T106" s="1"/>
      <c r="U106" s="1"/>
      <c r="V106" s="1"/>
    </row>
    <row r="107" spans="1:22" ht="25" customHeight="1">
      <c r="A107" s="1"/>
      <c r="B107" s="1"/>
      <c r="C107" s="1"/>
      <c r="D107" s="1"/>
      <c r="E107" s="1"/>
      <c r="F107" s="1"/>
      <c r="G107" s="1"/>
      <c r="H107" s="1"/>
      <c r="I107" s="1"/>
      <c r="J107" s="1"/>
      <c r="K107" s="1"/>
      <c r="L107" s="1"/>
      <c r="M107" s="1"/>
      <c r="N107" s="1"/>
      <c r="O107" s="1"/>
      <c r="P107" s="1"/>
      <c r="Q107" s="1"/>
      <c r="R107" s="1"/>
      <c r="S107" s="1"/>
      <c r="T107" s="1"/>
      <c r="U107" s="1"/>
      <c r="V107" s="1"/>
    </row>
    <row r="108" spans="1:22" ht="25" customHeight="1">
      <c r="A108" s="1"/>
      <c r="B108" s="1"/>
      <c r="C108" s="1"/>
      <c r="D108" s="1"/>
      <c r="E108" s="1"/>
      <c r="F108" s="1"/>
      <c r="G108" s="1"/>
      <c r="H108" s="1"/>
      <c r="I108" s="1"/>
      <c r="J108" s="1"/>
      <c r="K108" s="1"/>
      <c r="L108" s="1"/>
      <c r="M108" s="1"/>
      <c r="N108" s="1"/>
      <c r="O108" s="1"/>
      <c r="P108" s="1"/>
      <c r="Q108" s="1"/>
      <c r="R108" s="1"/>
      <c r="S108" s="1"/>
      <c r="T108" s="1"/>
      <c r="U108" s="1"/>
      <c r="V108" s="1"/>
    </row>
    <row r="109" spans="1:22" ht="25" customHeight="1">
      <c r="A109" s="1"/>
      <c r="B109" s="1"/>
      <c r="C109" s="1"/>
      <c r="D109" s="1"/>
      <c r="E109" s="1"/>
      <c r="F109" s="1"/>
      <c r="G109" s="1"/>
      <c r="H109" s="1"/>
      <c r="I109" s="1"/>
      <c r="J109" s="1"/>
      <c r="K109" s="1"/>
      <c r="L109" s="1"/>
      <c r="M109" s="1"/>
      <c r="N109" s="1"/>
      <c r="O109" s="1"/>
      <c r="P109" s="1"/>
      <c r="Q109" s="1"/>
      <c r="R109" s="1"/>
      <c r="S109" s="1"/>
      <c r="T109" s="1"/>
      <c r="U109" s="1"/>
      <c r="V109" s="1"/>
    </row>
    <row r="110" spans="1:22" ht="25" customHeight="1">
      <c r="A110" s="7" t="s">
        <v>168</v>
      </c>
      <c r="B110" s="1"/>
      <c r="C110" s="1"/>
      <c r="D110" s="1"/>
      <c r="E110" s="1"/>
      <c r="F110" s="1"/>
      <c r="G110" s="1"/>
      <c r="H110" s="1"/>
      <c r="I110" s="1"/>
      <c r="J110" s="1"/>
      <c r="K110" s="1"/>
      <c r="L110" s="1"/>
      <c r="M110" s="1"/>
      <c r="N110" s="1"/>
      <c r="O110" s="1"/>
      <c r="P110" s="1"/>
      <c r="Q110" s="1"/>
      <c r="R110" s="1"/>
      <c r="S110" s="1"/>
      <c r="T110" s="1"/>
      <c r="U110" s="1"/>
      <c r="V110" s="1"/>
    </row>
    <row r="111" spans="1:22" ht="25" customHeight="1">
      <c r="A111" s="1" t="s">
        <v>169</v>
      </c>
      <c r="B111" s="1"/>
      <c r="C111" s="1"/>
      <c r="D111" s="1"/>
      <c r="E111" s="1"/>
      <c r="F111" s="1"/>
      <c r="G111" s="1"/>
      <c r="H111" s="1"/>
      <c r="I111" s="1"/>
      <c r="J111" s="1"/>
      <c r="K111" s="1"/>
      <c r="L111" s="1"/>
      <c r="M111" s="1"/>
      <c r="N111" s="1"/>
      <c r="O111" s="1"/>
      <c r="P111" s="1"/>
      <c r="Q111" s="1"/>
      <c r="R111" s="1"/>
      <c r="S111" s="1"/>
      <c r="T111" s="1"/>
      <c r="U111" s="1"/>
      <c r="V111" s="1"/>
    </row>
    <row r="112" spans="1:22" ht="25" customHeight="1">
      <c r="A112" s="1"/>
      <c r="B112" s="1"/>
      <c r="C112" s="1"/>
      <c r="D112" s="1"/>
      <c r="E112" s="1"/>
      <c r="F112" s="1"/>
      <c r="G112" s="1"/>
      <c r="H112" s="1"/>
      <c r="I112" s="1"/>
      <c r="J112" s="1"/>
      <c r="K112" s="1"/>
      <c r="L112" s="1"/>
      <c r="M112" s="1"/>
      <c r="N112" s="1"/>
      <c r="O112" s="1"/>
      <c r="P112" s="1"/>
      <c r="Q112" s="1"/>
      <c r="R112" s="1"/>
      <c r="S112" s="1"/>
      <c r="T112" s="1"/>
      <c r="U112" s="1"/>
      <c r="V112" s="1"/>
    </row>
    <row r="113" spans="1:22" ht="25" customHeight="1">
      <c r="A113" s="1"/>
      <c r="B113" s="1"/>
      <c r="C113" s="1"/>
      <c r="D113" s="1"/>
      <c r="E113" s="1"/>
      <c r="F113" s="1"/>
      <c r="G113" s="1"/>
      <c r="H113" s="1"/>
      <c r="I113" s="1"/>
      <c r="J113" s="1"/>
      <c r="K113" s="1"/>
      <c r="L113" s="1"/>
      <c r="M113" s="1"/>
      <c r="N113" s="1"/>
      <c r="O113" s="1"/>
      <c r="P113" s="1"/>
      <c r="Q113" s="1"/>
      <c r="R113" s="1"/>
      <c r="S113" s="1"/>
      <c r="T113" s="1"/>
      <c r="U113" s="1"/>
      <c r="V113" s="1"/>
    </row>
    <row r="114" spans="1:22" ht="25" customHeight="1">
      <c r="A114" s="1"/>
      <c r="B114" s="1"/>
      <c r="C114" s="1"/>
      <c r="D114" s="1"/>
      <c r="E114" s="1"/>
      <c r="F114" s="1"/>
      <c r="G114" s="1"/>
      <c r="H114" s="1"/>
      <c r="I114" s="1"/>
      <c r="J114" s="1"/>
      <c r="K114" s="1"/>
      <c r="L114" s="1"/>
      <c r="M114" s="1"/>
      <c r="N114" s="1"/>
      <c r="O114" s="1"/>
      <c r="P114" s="1"/>
      <c r="Q114" s="1"/>
      <c r="R114" s="1"/>
      <c r="S114" s="1"/>
      <c r="T114" s="1"/>
      <c r="U114" s="1"/>
      <c r="V114" s="1"/>
    </row>
    <row r="115" spans="1:22" ht="25" customHeight="1">
      <c r="A115" s="1"/>
      <c r="B115" s="1"/>
      <c r="C115" s="1"/>
      <c r="D115" s="1"/>
      <c r="E115" s="1"/>
      <c r="F115" s="1"/>
      <c r="G115" s="1"/>
      <c r="H115" s="1"/>
      <c r="I115" s="1"/>
      <c r="J115" s="1"/>
      <c r="K115" s="1"/>
      <c r="L115" s="1"/>
      <c r="M115" s="1"/>
      <c r="N115" s="1"/>
      <c r="O115" s="1"/>
      <c r="P115" s="1"/>
      <c r="Q115" s="1"/>
      <c r="R115" s="1"/>
      <c r="S115" s="1"/>
      <c r="T115" s="1"/>
      <c r="U115" s="1"/>
      <c r="V115" s="1"/>
    </row>
    <row r="116" spans="1:22" ht="25" customHeight="1">
      <c r="A116" s="1"/>
      <c r="B116" s="1"/>
      <c r="C116" s="1"/>
      <c r="D116" s="1"/>
      <c r="E116" s="1"/>
      <c r="F116" s="1"/>
      <c r="G116" s="1"/>
      <c r="H116" s="1"/>
      <c r="I116" s="1"/>
      <c r="J116" s="1"/>
      <c r="K116" s="1"/>
      <c r="L116" s="1"/>
      <c r="M116" s="1"/>
      <c r="N116" s="1"/>
      <c r="O116" s="1"/>
      <c r="P116" s="1"/>
      <c r="Q116" s="1"/>
      <c r="R116" s="1"/>
      <c r="S116" s="1"/>
      <c r="T116" s="1"/>
      <c r="U116" s="1"/>
      <c r="V116" s="1"/>
    </row>
    <row r="117" spans="1:22" ht="25" customHeight="1">
      <c r="A117" s="1"/>
      <c r="B117" s="1"/>
      <c r="C117" s="1"/>
      <c r="D117" s="1"/>
      <c r="E117" s="1"/>
      <c r="F117" s="1"/>
      <c r="G117" s="1"/>
      <c r="H117" s="1"/>
      <c r="I117" s="1"/>
      <c r="J117" s="1"/>
      <c r="K117" s="1"/>
      <c r="L117" s="1"/>
      <c r="M117" s="1"/>
      <c r="N117" s="1"/>
      <c r="O117" s="1"/>
      <c r="P117" s="1"/>
      <c r="Q117" s="1"/>
      <c r="R117" s="1"/>
      <c r="S117" s="1"/>
      <c r="T117" s="1"/>
      <c r="U117" s="1"/>
      <c r="V117" s="1"/>
    </row>
    <row r="118" spans="1:22" ht="25" customHeight="1">
      <c r="A118" s="1"/>
      <c r="B118" s="1"/>
      <c r="C118" s="1"/>
      <c r="D118" s="1"/>
      <c r="E118" s="1"/>
      <c r="F118" s="1"/>
      <c r="G118" s="1"/>
      <c r="H118" s="1"/>
      <c r="I118" s="1"/>
      <c r="J118" s="1"/>
      <c r="K118" s="1"/>
      <c r="L118" s="1"/>
      <c r="M118" s="1"/>
      <c r="N118" s="1"/>
      <c r="O118" s="1"/>
      <c r="P118" s="1"/>
      <c r="Q118" s="1"/>
      <c r="R118" s="1"/>
      <c r="S118" s="1"/>
      <c r="T118" s="1"/>
      <c r="U118" s="1"/>
      <c r="V118" s="1"/>
    </row>
    <row r="119" spans="1:22" ht="25" customHeight="1">
      <c r="A119" s="1"/>
      <c r="B119" s="1"/>
      <c r="C119" s="1"/>
      <c r="D119" s="1"/>
      <c r="E119" s="1"/>
      <c r="F119" s="1"/>
      <c r="G119" s="1"/>
      <c r="H119" s="1"/>
      <c r="I119" s="1"/>
      <c r="J119" s="1"/>
      <c r="K119" s="1"/>
      <c r="L119" s="1"/>
      <c r="M119" s="1"/>
      <c r="N119" s="1"/>
      <c r="O119" s="1"/>
      <c r="P119" s="1"/>
      <c r="Q119" s="1"/>
      <c r="R119" s="1"/>
      <c r="S119" s="1"/>
      <c r="T119" s="1"/>
      <c r="U119" s="1"/>
      <c r="V119" s="1"/>
    </row>
    <row r="120" spans="1:22" ht="25" customHeight="1">
      <c r="A120" s="1"/>
      <c r="B120" s="1"/>
      <c r="C120" s="1"/>
      <c r="D120" s="1"/>
      <c r="E120" s="1"/>
      <c r="F120" s="1"/>
      <c r="G120" s="1"/>
      <c r="H120" s="1"/>
      <c r="I120" s="1"/>
      <c r="J120" s="1"/>
      <c r="K120" s="1"/>
      <c r="L120" s="1"/>
      <c r="M120" s="1"/>
      <c r="N120" s="1"/>
      <c r="O120" s="1"/>
      <c r="P120" s="1"/>
      <c r="Q120" s="1"/>
      <c r="R120" s="1"/>
      <c r="S120" s="1"/>
      <c r="T120" s="1"/>
      <c r="U120" s="1"/>
      <c r="V120" s="1"/>
    </row>
    <row r="121" spans="1:22" ht="25" customHeight="1">
      <c r="A121" s="1"/>
      <c r="B121" s="1"/>
      <c r="C121" s="1"/>
      <c r="D121" s="1"/>
      <c r="E121" s="1"/>
      <c r="F121" s="1"/>
      <c r="G121" s="1"/>
      <c r="H121" s="1"/>
      <c r="I121" s="1"/>
      <c r="J121" s="1"/>
      <c r="K121" s="1"/>
      <c r="L121" s="1"/>
      <c r="M121" s="1"/>
      <c r="N121" s="1"/>
      <c r="O121" s="1"/>
      <c r="P121" s="1"/>
      <c r="Q121" s="1"/>
      <c r="R121" s="1"/>
      <c r="S121" s="1"/>
      <c r="T121" s="1"/>
      <c r="U121" s="1"/>
      <c r="V121" s="1"/>
    </row>
    <row r="122" spans="1:22" ht="25" customHeight="1">
      <c r="A122" s="1"/>
      <c r="B122" s="1"/>
      <c r="C122" s="1"/>
      <c r="D122" s="1"/>
      <c r="E122" s="1"/>
      <c r="F122" s="1"/>
      <c r="G122" s="1"/>
      <c r="H122" s="1"/>
      <c r="I122" s="1"/>
      <c r="J122" s="1"/>
      <c r="K122" s="1"/>
      <c r="L122" s="1"/>
      <c r="M122" s="1"/>
      <c r="N122" s="1"/>
      <c r="O122" s="1"/>
      <c r="P122" s="1"/>
      <c r="Q122" s="1"/>
      <c r="R122" s="1"/>
      <c r="S122" s="1"/>
      <c r="T122" s="1"/>
      <c r="U122" s="1"/>
      <c r="V122" s="1"/>
    </row>
    <row r="123" spans="1:22" ht="25" customHeight="1">
      <c r="A123" s="1"/>
      <c r="B123" s="1"/>
      <c r="C123" s="1"/>
      <c r="D123" s="1"/>
      <c r="E123" s="1"/>
      <c r="F123" s="1"/>
      <c r="G123" s="1"/>
      <c r="H123" s="1"/>
      <c r="I123" s="1"/>
      <c r="J123" s="1"/>
      <c r="K123" s="1"/>
      <c r="L123" s="1"/>
      <c r="M123" s="1"/>
      <c r="N123" s="1"/>
      <c r="O123" s="1"/>
      <c r="P123" s="1"/>
      <c r="Q123" s="1"/>
      <c r="R123" s="1"/>
      <c r="S123" s="1"/>
      <c r="T123" s="1"/>
      <c r="U123" s="1"/>
      <c r="V123" s="1"/>
    </row>
    <row r="124" spans="1:22" ht="25" customHeight="1">
      <c r="A124" s="1"/>
      <c r="B124" s="1"/>
      <c r="C124" s="1"/>
      <c r="D124" s="1"/>
      <c r="E124" s="1"/>
      <c r="F124" s="1"/>
      <c r="G124" s="1"/>
      <c r="H124" s="1"/>
      <c r="I124" s="1"/>
      <c r="J124" s="1"/>
      <c r="K124" s="1"/>
      <c r="L124" s="1"/>
      <c r="M124" s="1"/>
      <c r="N124" s="1"/>
      <c r="O124" s="1"/>
      <c r="P124" s="1"/>
      <c r="Q124" s="1"/>
      <c r="R124" s="1"/>
      <c r="S124" s="1"/>
      <c r="T124" s="1"/>
      <c r="U124" s="1"/>
      <c r="V124" s="1"/>
    </row>
    <row r="125" spans="1:22" ht="25" customHeight="1">
      <c r="A125" s="1"/>
      <c r="B125" s="1"/>
      <c r="C125" s="1"/>
      <c r="D125" s="1"/>
      <c r="E125" s="1"/>
      <c r="F125" s="1"/>
      <c r="G125" s="1"/>
      <c r="H125" s="1"/>
      <c r="I125" s="1"/>
      <c r="J125" s="1"/>
      <c r="K125" s="1"/>
      <c r="L125" s="1"/>
      <c r="M125" s="1"/>
      <c r="N125" s="1"/>
      <c r="O125" s="1"/>
      <c r="P125" s="1"/>
      <c r="Q125" s="1"/>
      <c r="R125" s="1"/>
      <c r="S125" s="1"/>
      <c r="T125" s="1"/>
      <c r="U125" s="1"/>
      <c r="V125" s="1"/>
    </row>
    <row r="126" spans="1:22" ht="25" customHeight="1">
      <c r="A126" s="1"/>
      <c r="B126" s="1"/>
      <c r="C126" s="1"/>
      <c r="D126" s="1"/>
      <c r="E126" s="1"/>
      <c r="F126" s="1"/>
      <c r="G126" s="1"/>
      <c r="H126" s="1"/>
      <c r="I126" s="1"/>
      <c r="J126" s="1"/>
      <c r="K126" s="1"/>
      <c r="L126" s="1"/>
      <c r="M126" s="1"/>
      <c r="N126" s="1"/>
      <c r="O126" s="1"/>
      <c r="P126" s="1"/>
      <c r="Q126" s="1"/>
      <c r="R126" s="1"/>
      <c r="S126" s="1"/>
      <c r="T126" s="1"/>
      <c r="U126" s="1"/>
      <c r="V126" s="1"/>
    </row>
    <row r="127" spans="1:22" ht="25" customHeight="1">
      <c r="A127" s="1"/>
      <c r="B127" s="1"/>
      <c r="C127" s="1"/>
      <c r="D127" s="1"/>
      <c r="E127" s="1"/>
      <c r="F127" s="1"/>
      <c r="G127" s="1"/>
      <c r="H127" s="1"/>
      <c r="I127" s="1"/>
      <c r="J127" s="1"/>
      <c r="K127" s="1"/>
      <c r="L127" s="1"/>
      <c r="M127" s="1"/>
      <c r="N127" s="1"/>
      <c r="O127" s="1"/>
      <c r="P127" s="1"/>
      <c r="Q127" s="1"/>
      <c r="R127" s="1"/>
      <c r="S127" s="1"/>
      <c r="T127" s="1"/>
      <c r="U127" s="1"/>
      <c r="V127" s="1"/>
    </row>
    <row r="128" spans="1:22" ht="25" customHeight="1">
      <c r="A128" s="1"/>
      <c r="B128" s="1"/>
      <c r="C128" s="1"/>
      <c r="D128" s="1"/>
      <c r="E128" s="1"/>
      <c r="F128" s="1"/>
      <c r="G128" s="1"/>
      <c r="H128" s="1"/>
      <c r="I128" s="1"/>
      <c r="J128" s="1"/>
      <c r="K128" s="1"/>
      <c r="L128" s="1"/>
      <c r="M128" s="1"/>
      <c r="N128" s="1"/>
      <c r="O128" s="1"/>
      <c r="P128" s="1"/>
      <c r="Q128" s="1"/>
      <c r="R128" s="1"/>
      <c r="S128" s="1"/>
      <c r="T128" s="1"/>
      <c r="U128" s="1"/>
      <c r="V128" s="1"/>
    </row>
    <row r="129" spans="1:22" ht="25" customHeight="1">
      <c r="A129" s="1"/>
      <c r="B129" s="1"/>
      <c r="C129" s="1"/>
      <c r="D129" s="1"/>
      <c r="E129" s="1"/>
      <c r="F129" s="1"/>
      <c r="G129" s="1"/>
      <c r="H129" s="1"/>
      <c r="I129" s="1"/>
      <c r="J129" s="1"/>
      <c r="K129" s="1"/>
      <c r="L129" s="1"/>
      <c r="M129" s="1"/>
      <c r="N129" s="1"/>
      <c r="O129" s="1"/>
      <c r="P129" s="1"/>
      <c r="Q129" s="1"/>
      <c r="R129" s="1"/>
      <c r="S129" s="1"/>
      <c r="T129" s="1"/>
      <c r="U129" s="1"/>
      <c r="V129" s="1"/>
    </row>
    <row r="130" spans="1:22" ht="25" customHeight="1">
      <c r="A130" s="1"/>
      <c r="B130" s="1"/>
      <c r="C130" s="1"/>
      <c r="D130" s="1"/>
      <c r="E130" s="1"/>
      <c r="F130" s="1"/>
      <c r="G130" s="1"/>
      <c r="H130" s="1"/>
      <c r="I130" s="1"/>
      <c r="J130" s="1"/>
      <c r="K130" s="1"/>
      <c r="L130" s="1"/>
      <c r="M130" s="1"/>
      <c r="N130" s="1"/>
      <c r="O130" s="1"/>
      <c r="P130" s="1"/>
      <c r="Q130" s="1"/>
      <c r="R130" s="1"/>
      <c r="S130" s="1"/>
      <c r="T130" s="1"/>
      <c r="U130" s="1"/>
      <c r="V130" s="1"/>
    </row>
    <row r="131" spans="1:22" ht="25" customHeight="1">
      <c r="A131" s="1"/>
      <c r="B131" s="1"/>
      <c r="C131" s="1"/>
      <c r="D131" s="1"/>
      <c r="E131" s="1"/>
      <c r="F131" s="1"/>
      <c r="G131" s="1"/>
      <c r="H131" s="1"/>
      <c r="I131" s="1"/>
      <c r="J131" s="1"/>
      <c r="K131" s="1"/>
      <c r="L131" s="1"/>
      <c r="M131" s="1"/>
      <c r="N131" s="1"/>
      <c r="O131" s="1"/>
      <c r="P131" s="1"/>
      <c r="Q131" s="1"/>
      <c r="R131" s="1"/>
      <c r="S131" s="1"/>
      <c r="T131" s="1"/>
      <c r="U131" s="1"/>
      <c r="V131" s="1"/>
    </row>
    <row r="132" spans="1:22" ht="32" customHeight="1">
      <c r="A132" s="8" t="s">
        <v>2</v>
      </c>
      <c r="B132" s="8" t="s">
        <v>154</v>
      </c>
      <c r="C132" s="8" t="s">
        <v>155</v>
      </c>
      <c r="D132" s="8" t="s">
        <v>156</v>
      </c>
      <c r="E132" s="8" t="s">
        <v>157</v>
      </c>
      <c r="F132" s="8" t="s">
        <v>158</v>
      </c>
      <c r="G132" s="1"/>
      <c r="H132" s="1"/>
      <c r="I132" s="1"/>
      <c r="J132" s="1"/>
      <c r="K132" s="1"/>
      <c r="L132" s="1"/>
      <c r="M132" s="1"/>
      <c r="N132" s="9" t="s">
        <v>159</v>
      </c>
      <c r="O132" s="9" t="s">
        <v>154</v>
      </c>
      <c r="P132" s="9" t="s">
        <v>155</v>
      </c>
      <c r="Q132" s="9" t="s">
        <v>156</v>
      </c>
      <c r="R132" s="9" t="s">
        <v>160</v>
      </c>
      <c r="S132" s="9" t="s">
        <v>158</v>
      </c>
      <c r="T132" s="1"/>
      <c r="U132" s="1"/>
      <c r="V132" s="1"/>
    </row>
    <row r="133" spans="1:22" ht="27" customHeight="1">
      <c r="A133" s="1" t="str">
        <f t="shared" ref="A133:A138" si="10">INDEX(N$133:N$138,MATCH(E133,$R$133:$R$138,0))</f>
        <v>昆山</v>
      </c>
      <c r="B133" s="10" t="str">
        <f t="shared" ref="B133:B138" si="11">INDEX(O$133:O$138,MATCH(E133,$R$133:$R$138,0))</f>
        <v/>
      </c>
      <c r="C133" s="10">
        <f t="shared" ref="C133:C138" si="12">INDEX(P$133:P$138,MATCH(E133,$R$133:$R$138,0))</f>
        <v>60</v>
      </c>
      <c r="D133" s="1" t="str">
        <f t="shared" ref="D133:D138" si="13">INDEX(Q$133:Q$138,MATCH(E133,$R$133:$R$138,0))</f>
        <v>最高60</v>
      </c>
      <c r="E133" s="1">
        <v>1</v>
      </c>
      <c r="F133" s="1">
        <f t="shared" ref="F133:F138" si="14">INDEX(S$133:S$138,MATCH(E133,$R$133:$R$138,0))</f>
        <v>28</v>
      </c>
      <c r="G133" s="1"/>
      <c r="H133" s="1"/>
      <c r="I133" s="1"/>
      <c r="J133" s="1"/>
      <c r="K133" s="1"/>
      <c r="L133" s="1"/>
      <c r="M133" s="1"/>
      <c r="N133" s="1" t="s">
        <v>162</v>
      </c>
      <c r="O133" s="1" t="str">
        <f>IF(ISNUMBER(政策金额数据!E31),政策金额数据!E31,"")</f>
        <v/>
      </c>
      <c r="P133" s="1">
        <f>IF(ISNUMBER(政策金额数据!F31),政策金额数据!F31,"")</f>
        <v>100</v>
      </c>
      <c r="Q133" s="1" t="str">
        <f>政策金额数据!G31</f>
        <v>最高100</v>
      </c>
      <c r="R133" s="1">
        <f>COUNTIFS($P$133:$P$138,"&lt;"&amp;P133)+COUNTIFS($P$133:P133,P133)</f>
        <v>2</v>
      </c>
      <c r="S133" s="1">
        <v>26</v>
      </c>
      <c r="T133" s="1"/>
      <c r="U133" s="1"/>
      <c r="V133" s="1"/>
    </row>
    <row r="134" spans="1:22" ht="27" customHeight="1">
      <c r="A134" s="1" t="str">
        <f t="shared" si="10"/>
        <v>姑苏区</v>
      </c>
      <c r="B134" s="10" t="str">
        <f t="shared" si="11"/>
        <v/>
      </c>
      <c r="C134" s="10">
        <f t="shared" si="12"/>
        <v>100</v>
      </c>
      <c r="D134" s="1" t="str">
        <f t="shared" si="13"/>
        <v>最高100</v>
      </c>
      <c r="E134" s="1">
        <v>2</v>
      </c>
      <c r="F134" s="1">
        <f t="shared" si="14"/>
        <v>26</v>
      </c>
      <c r="G134" s="1"/>
      <c r="H134" s="1"/>
      <c r="I134" s="1"/>
      <c r="J134" s="1"/>
      <c r="K134" s="1"/>
      <c r="L134" s="1"/>
      <c r="M134" s="1"/>
      <c r="N134" s="1" t="s">
        <v>21</v>
      </c>
      <c r="O134" s="1" t="str">
        <f>IF(ISNUMBER(政策金额数据!E33),政策金额数据!E33,"")</f>
        <v/>
      </c>
      <c r="P134" s="1">
        <f>IF(ISNUMBER(政策金额数据!F33),政策金额数据!F33,"")</f>
        <v>60</v>
      </c>
      <c r="Q134" s="1" t="str">
        <f>政策金额数据!G33</f>
        <v>最高60</v>
      </c>
      <c r="R134" s="1">
        <f>COUNTIFS($P$133:$P$138,"&lt;"&amp;P134)+COUNTIFS($P$133:P134,P134)</f>
        <v>1</v>
      </c>
      <c r="S134" s="1">
        <v>28</v>
      </c>
      <c r="T134" s="1"/>
      <c r="U134" s="1"/>
      <c r="V134" s="1"/>
    </row>
    <row r="135" spans="1:22" ht="27" customHeight="1">
      <c r="A135" s="1" t="str">
        <f t="shared" si="10"/>
        <v>高新区</v>
      </c>
      <c r="B135" s="10" t="str">
        <f t="shared" si="11"/>
        <v/>
      </c>
      <c r="C135" s="10">
        <f t="shared" si="12"/>
        <v>100</v>
      </c>
      <c r="D135" s="1" t="str">
        <f t="shared" si="13"/>
        <v>最高100</v>
      </c>
      <c r="E135" s="1">
        <v>3</v>
      </c>
      <c r="F135" s="1">
        <f t="shared" si="14"/>
        <v>30</v>
      </c>
      <c r="G135" s="1"/>
      <c r="H135" s="1"/>
      <c r="I135" s="1"/>
      <c r="J135" s="1"/>
      <c r="K135" s="1"/>
      <c r="L135" s="1"/>
      <c r="M135" s="1"/>
      <c r="N135" s="1" t="s">
        <v>163</v>
      </c>
      <c r="O135" s="1">
        <f>IF(ISNUMBER(政策金额数据!E34),政策金额数据!E34,"")</f>
        <v>100</v>
      </c>
      <c r="P135" s="1">
        <f>IF(ISNUMBER(政策金额数据!F34),政策金额数据!F34,"")</f>
        <v>150</v>
      </c>
      <c r="Q135" s="1" t="str">
        <f>政策金额数据!G34</f>
        <v>100—150</v>
      </c>
      <c r="R135" s="1">
        <f>COUNTIFS($P$133:$P$138,"&lt;"&amp;P135)+COUNTIFS($P$133:P135,P135)</f>
        <v>5</v>
      </c>
      <c r="S135" s="1">
        <v>29</v>
      </c>
      <c r="T135" s="1"/>
      <c r="U135" s="1"/>
      <c r="V135" s="1"/>
    </row>
    <row r="136" spans="1:22" ht="27" customHeight="1">
      <c r="A136" s="1" t="str">
        <f t="shared" si="10"/>
        <v>相城</v>
      </c>
      <c r="B136" s="10" t="str">
        <f t="shared" si="11"/>
        <v/>
      </c>
      <c r="C136" s="10">
        <f t="shared" si="12"/>
        <v>100</v>
      </c>
      <c r="D136" s="1" t="str">
        <f t="shared" si="13"/>
        <v>最高100</v>
      </c>
      <c r="E136" s="1">
        <v>4</v>
      </c>
      <c r="F136" s="1">
        <f t="shared" si="14"/>
        <v>32</v>
      </c>
      <c r="G136" s="1"/>
      <c r="H136" s="1"/>
      <c r="I136" s="1"/>
      <c r="J136" s="1"/>
      <c r="K136" s="1"/>
      <c r="L136" s="1"/>
      <c r="M136" s="1"/>
      <c r="N136" s="1" t="s">
        <v>31</v>
      </c>
      <c r="O136" s="1" t="str">
        <f>IF(ISNUMBER(政策金额数据!E35),政策金额数据!E35,"")</f>
        <v/>
      </c>
      <c r="P136" s="1">
        <f>IF(ISNUMBER(政策金额数据!F35),政策金额数据!F35,"")</f>
        <v>100</v>
      </c>
      <c r="Q136" s="1" t="str">
        <f>政策金额数据!G35</f>
        <v>最高100</v>
      </c>
      <c r="R136" s="1">
        <f>COUNTIFS($P$133:$P$138,"&lt;"&amp;P136)+COUNTIFS($P$133:P136,P136)</f>
        <v>3</v>
      </c>
      <c r="S136" s="1">
        <v>30</v>
      </c>
      <c r="T136" s="1"/>
      <c r="U136" s="1"/>
      <c r="V136" s="1"/>
    </row>
    <row r="137" spans="1:22" ht="27" customHeight="1">
      <c r="A137" s="1" t="str">
        <f t="shared" si="10"/>
        <v>园区</v>
      </c>
      <c r="B137" s="10">
        <f t="shared" si="11"/>
        <v>100</v>
      </c>
      <c r="C137" s="10">
        <f t="shared" si="12"/>
        <v>150</v>
      </c>
      <c r="D137" s="1" t="str">
        <f t="shared" si="13"/>
        <v>100—150</v>
      </c>
      <c r="E137" s="1">
        <v>5</v>
      </c>
      <c r="F137" s="1">
        <f t="shared" si="14"/>
        <v>29</v>
      </c>
      <c r="G137" s="1"/>
      <c r="H137" s="1"/>
      <c r="I137" s="1"/>
      <c r="J137" s="1"/>
      <c r="K137" s="1"/>
      <c r="L137" s="1"/>
      <c r="M137" s="1"/>
      <c r="N137" s="1" t="s">
        <v>35</v>
      </c>
      <c r="O137" s="1">
        <f>IF(ISNUMBER(政策金额数据!E36),政策金额数据!E36,"")</f>
        <v>50</v>
      </c>
      <c r="P137" s="1">
        <f>IF(ISNUMBER(政策金额数据!F36),政策金额数据!F36,"")</f>
        <v>150</v>
      </c>
      <c r="Q137" s="1" t="str">
        <f>政策金额数据!G36</f>
        <v>50 / 100 / 150</v>
      </c>
      <c r="R137" s="1">
        <f>COUNTIFS($P$133:$P$138,"&lt;"&amp;P137)+COUNTIFS($P$133:P137,P137)</f>
        <v>6</v>
      </c>
      <c r="S137" s="1">
        <v>31</v>
      </c>
      <c r="T137" s="1"/>
      <c r="U137" s="1"/>
      <c r="V137" s="1"/>
    </row>
    <row r="138" spans="1:22" ht="27" customHeight="1">
      <c r="A138" s="1" t="str">
        <f t="shared" si="10"/>
        <v>吴江</v>
      </c>
      <c r="B138" s="10">
        <f t="shared" si="11"/>
        <v>50</v>
      </c>
      <c r="C138" s="10">
        <f t="shared" si="12"/>
        <v>150</v>
      </c>
      <c r="D138" s="1" t="str">
        <f t="shared" si="13"/>
        <v>50 / 100 / 150</v>
      </c>
      <c r="E138" s="1">
        <v>6</v>
      </c>
      <c r="F138" s="1">
        <f t="shared" si="14"/>
        <v>31</v>
      </c>
      <c r="G138" s="1"/>
      <c r="H138" s="1"/>
      <c r="I138" s="1"/>
      <c r="J138" s="1"/>
      <c r="K138" s="1"/>
      <c r="L138" s="1"/>
      <c r="M138" s="1"/>
      <c r="N138" s="1" t="s">
        <v>39</v>
      </c>
      <c r="O138" s="1" t="str">
        <f>IF(ISNUMBER(政策金额数据!E37),政策金额数据!E37,"")</f>
        <v/>
      </c>
      <c r="P138" s="1">
        <f>IF(ISNUMBER(政策金额数据!F37),政策金额数据!F37,"")</f>
        <v>100</v>
      </c>
      <c r="Q138" s="1" t="str">
        <f>政策金额数据!G37</f>
        <v>最高100</v>
      </c>
      <c r="R138" s="1">
        <f>COUNTIFS($P$133:$P$138,"&lt;"&amp;P138)+COUNTIFS($P$133:P138,P138)</f>
        <v>4</v>
      </c>
      <c r="S138" s="1">
        <v>32</v>
      </c>
      <c r="T138" s="1"/>
      <c r="U138" s="1"/>
      <c r="V138" s="1"/>
    </row>
    <row r="139" spans="1:22" ht="25" customHeight="1">
      <c r="A139" s="1"/>
      <c r="B139" s="10"/>
      <c r="C139" s="10"/>
      <c r="D139" s="1"/>
      <c r="E139" s="1"/>
      <c r="F139" s="1"/>
      <c r="G139" s="1"/>
      <c r="H139" s="1"/>
      <c r="I139" s="1"/>
      <c r="J139" s="1"/>
      <c r="K139" s="1"/>
      <c r="L139" s="1"/>
      <c r="M139" s="1"/>
      <c r="N139" s="1"/>
      <c r="O139" s="1"/>
      <c r="P139" s="1"/>
      <c r="Q139" s="1"/>
      <c r="R139" s="1"/>
      <c r="S139" s="1"/>
      <c r="T139" s="1"/>
      <c r="U139" s="1"/>
      <c r="V139" s="1"/>
    </row>
    <row r="140" spans="1:22" ht="25" customHeight="1">
      <c r="A140" s="1"/>
      <c r="B140" s="10"/>
      <c r="C140" s="10"/>
      <c r="D140" s="1"/>
      <c r="E140" s="1"/>
      <c r="F140" s="1"/>
      <c r="G140" s="1"/>
      <c r="H140" s="1"/>
      <c r="I140" s="1"/>
      <c r="J140" s="1"/>
      <c r="K140" s="1"/>
      <c r="L140" s="1"/>
      <c r="M140" s="1"/>
      <c r="N140" s="1"/>
      <c r="O140" s="1"/>
      <c r="P140" s="1"/>
      <c r="Q140" s="1"/>
      <c r="R140" s="1"/>
      <c r="S140" s="1"/>
      <c r="T140" s="1"/>
      <c r="U140" s="1"/>
      <c r="V140" s="1"/>
    </row>
    <row r="141" spans="1:22" ht="25" customHeight="1">
      <c r="A141" s="1"/>
      <c r="B141" s="1"/>
      <c r="C141" s="1"/>
      <c r="D141" s="1"/>
      <c r="E141" s="1"/>
      <c r="F141" s="1"/>
      <c r="G141" s="1"/>
      <c r="H141" s="1"/>
      <c r="I141" s="1"/>
      <c r="J141" s="1"/>
      <c r="K141" s="1"/>
      <c r="L141" s="1"/>
      <c r="M141" s="1"/>
      <c r="N141" s="1"/>
      <c r="O141" s="1"/>
      <c r="P141" s="1"/>
      <c r="Q141" s="1"/>
      <c r="R141" s="1"/>
      <c r="S141" s="1"/>
      <c r="T141" s="1"/>
      <c r="U141" s="1"/>
      <c r="V141" s="1"/>
    </row>
    <row r="142" spans="1:22" ht="25" customHeight="1">
      <c r="A142" s="1"/>
      <c r="B142" s="1"/>
      <c r="C142" s="1"/>
      <c r="D142" s="1"/>
      <c r="E142" s="1"/>
      <c r="F142" s="1"/>
      <c r="G142" s="1"/>
      <c r="H142" s="1"/>
      <c r="I142" s="1"/>
      <c r="J142" s="1"/>
      <c r="K142" s="1"/>
      <c r="L142" s="1"/>
      <c r="M142" s="1"/>
      <c r="N142" s="1"/>
      <c r="O142" s="1"/>
      <c r="P142" s="1"/>
      <c r="Q142" s="1"/>
      <c r="R142" s="1"/>
      <c r="S142" s="1"/>
      <c r="T142" s="1"/>
      <c r="U142" s="1"/>
      <c r="V142" s="1"/>
    </row>
    <row r="143" spans="1:22" ht="25" customHeight="1">
      <c r="A143" s="1"/>
      <c r="B143" s="1"/>
      <c r="C143" s="1"/>
      <c r="D143" s="1"/>
      <c r="E143" s="1"/>
      <c r="F143" s="1"/>
      <c r="G143" s="1"/>
      <c r="H143" s="1"/>
      <c r="I143" s="1"/>
      <c r="J143" s="1"/>
      <c r="K143" s="1"/>
      <c r="L143" s="1"/>
      <c r="M143" s="1"/>
      <c r="N143" s="1"/>
      <c r="O143" s="1"/>
      <c r="P143" s="1"/>
      <c r="Q143" s="1"/>
      <c r="R143" s="1"/>
      <c r="S143" s="1"/>
      <c r="T143" s="1"/>
      <c r="U143" s="1"/>
      <c r="V143" s="1"/>
    </row>
    <row r="144" spans="1:22" ht="25" customHeight="1">
      <c r="A144" s="1"/>
      <c r="B144" s="1"/>
      <c r="C144" s="1"/>
      <c r="D144" s="1"/>
      <c r="E144" s="1"/>
      <c r="F144" s="1"/>
      <c r="G144" s="1"/>
      <c r="H144" s="1"/>
      <c r="I144" s="1"/>
      <c r="J144" s="1"/>
      <c r="K144" s="1"/>
      <c r="L144" s="1"/>
      <c r="M144" s="1"/>
      <c r="N144" s="1"/>
      <c r="O144" s="1"/>
      <c r="P144" s="1"/>
      <c r="Q144" s="1"/>
      <c r="R144" s="1"/>
      <c r="S144" s="1"/>
      <c r="T144" s="1"/>
      <c r="U144" s="1"/>
      <c r="V144" s="1"/>
    </row>
  </sheetData>
  <phoneticPr fontId="9" type="noConversion"/>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9"/>
  <sheetViews>
    <sheetView showGridLines="0" zoomScaleNormal="100" workbookViewId="0">
      <pane ySplit="5" topLeftCell="A6" activePane="bottomLeft" state="frozen"/>
      <selection pane="bottomLeft"/>
    </sheetView>
  </sheetViews>
  <sheetFormatPr defaultColWidth="8.6328125" defaultRowHeight="12.5"/>
  <cols>
    <col min="1" max="1" width="23" customWidth="1"/>
    <col min="2" max="2" width="19" customWidth="1"/>
    <col min="3" max="3" width="38" customWidth="1"/>
    <col min="4" max="4" width="57" customWidth="1"/>
    <col min="5" max="5" width="56" customWidth="1"/>
    <col min="6" max="6" width="58" customWidth="1"/>
    <col min="7" max="7" width="60" customWidth="1"/>
    <col min="8" max="8" width="52" customWidth="1"/>
    <col min="9" max="9" width="40" customWidth="1"/>
    <col min="10" max="10" width="16" customWidth="1"/>
  </cols>
  <sheetData>
    <row r="1" spans="1:10" ht="25" customHeight="1">
      <c r="A1" s="1"/>
      <c r="B1" s="1"/>
      <c r="C1" s="1"/>
      <c r="D1" s="1"/>
      <c r="E1" s="1"/>
      <c r="F1" s="1"/>
      <c r="G1" s="1"/>
      <c r="H1" s="1"/>
      <c r="I1" s="1"/>
      <c r="J1" s="1"/>
    </row>
    <row r="2" spans="1:10" ht="25" customHeight="1">
      <c r="A2" s="2" t="s">
        <v>170</v>
      </c>
      <c r="B2" s="1"/>
      <c r="C2" s="1"/>
      <c r="D2" s="1"/>
      <c r="E2" s="1"/>
      <c r="F2" s="1"/>
      <c r="G2" s="1"/>
      <c r="H2" s="1"/>
      <c r="I2" s="1"/>
      <c r="J2" s="1"/>
    </row>
    <row r="3" spans="1:10" ht="25" customHeight="1">
      <c r="A3" s="3" t="s">
        <v>171</v>
      </c>
      <c r="B3" s="1"/>
      <c r="C3" s="1"/>
      <c r="D3" s="1"/>
      <c r="E3" s="1"/>
      <c r="F3" s="1"/>
      <c r="G3" s="1"/>
      <c r="H3" s="1"/>
      <c r="I3" s="1"/>
      <c r="J3" s="1"/>
    </row>
    <row r="4" spans="1:10" ht="25" customHeight="1">
      <c r="A4" s="1"/>
      <c r="B4" s="1"/>
      <c r="C4" s="1"/>
      <c r="D4" s="1"/>
      <c r="E4" s="1"/>
      <c r="F4" s="1"/>
      <c r="G4" s="1"/>
      <c r="H4" s="1"/>
      <c r="I4" s="1"/>
      <c r="J4" s="1"/>
    </row>
    <row r="5" spans="1:10" ht="40" customHeight="1">
      <c r="A5" s="4" t="s">
        <v>2</v>
      </c>
      <c r="B5" s="4" t="s">
        <v>172</v>
      </c>
      <c r="C5" s="4" t="s">
        <v>173</v>
      </c>
      <c r="D5" s="4" t="s">
        <v>174</v>
      </c>
      <c r="E5" s="4" t="s">
        <v>175</v>
      </c>
      <c r="F5" s="4" t="s">
        <v>176</v>
      </c>
      <c r="G5" s="4" t="s">
        <v>177</v>
      </c>
      <c r="H5" s="4" t="s">
        <v>178</v>
      </c>
      <c r="I5" s="4" t="s">
        <v>179</v>
      </c>
      <c r="J5" s="1"/>
    </row>
    <row r="6" spans="1:10" ht="85" customHeight="1">
      <c r="A6" s="5" t="s">
        <v>7</v>
      </c>
      <c r="B6" s="5" t="s">
        <v>180</v>
      </c>
      <c r="C6" s="5" t="s">
        <v>181</v>
      </c>
      <c r="D6" s="5" t="s">
        <v>182</v>
      </c>
      <c r="E6" s="5" t="s">
        <v>183</v>
      </c>
      <c r="F6" s="5" t="s">
        <v>184</v>
      </c>
      <c r="G6" s="5" t="s">
        <v>185</v>
      </c>
      <c r="H6" s="5" t="s">
        <v>186</v>
      </c>
      <c r="I6" s="5" t="s">
        <v>187</v>
      </c>
      <c r="J6" s="1"/>
    </row>
    <row r="7" spans="1:10" ht="85" customHeight="1">
      <c r="A7" s="6" t="s">
        <v>12</v>
      </c>
      <c r="B7" s="6" t="s">
        <v>188</v>
      </c>
      <c r="C7" s="6" t="s">
        <v>189</v>
      </c>
      <c r="D7" s="6" t="s">
        <v>190</v>
      </c>
      <c r="E7" s="6" t="s">
        <v>191</v>
      </c>
      <c r="F7" s="6" t="s">
        <v>192</v>
      </c>
      <c r="G7" s="6" t="s">
        <v>193</v>
      </c>
      <c r="H7" s="6" t="s">
        <v>194</v>
      </c>
      <c r="I7" s="6" t="s">
        <v>195</v>
      </c>
      <c r="J7" s="1"/>
    </row>
    <row r="8" spans="1:10" ht="85" customHeight="1">
      <c r="A8" s="5" t="s">
        <v>16</v>
      </c>
      <c r="B8" s="5" t="s">
        <v>196</v>
      </c>
      <c r="C8" s="5" t="s">
        <v>197</v>
      </c>
      <c r="D8" s="5" t="s">
        <v>198</v>
      </c>
      <c r="E8" s="5" t="s">
        <v>199</v>
      </c>
      <c r="F8" s="5" t="s">
        <v>200</v>
      </c>
      <c r="G8" s="5" t="s">
        <v>201</v>
      </c>
      <c r="H8" s="5" t="s">
        <v>202</v>
      </c>
      <c r="I8" s="5" t="s">
        <v>203</v>
      </c>
      <c r="J8" s="1"/>
    </row>
    <row r="9" spans="1:10" ht="85" customHeight="1">
      <c r="A9" s="6" t="s">
        <v>21</v>
      </c>
      <c r="B9" s="6" t="s">
        <v>180</v>
      </c>
      <c r="C9" s="6" t="s">
        <v>204</v>
      </c>
      <c r="D9" s="6" t="s">
        <v>205</v>
      </c>
      <c r="E9" s="6" t="s">
        <v>206</v>
      </c>
      <c r="F9" s="6" t="s">
        <v>207</v>
      </c>
      <c r="G9" s="6" t="s">
        <v>208</v>
      </c>
      <c r="H9" s="6" t="s">
        <v>209</v>
      </c>
      <c r="I9" s="6" t="s">
        <v>210</v>
      </c>
      <c r="J9" s="1"/>
    </row>
    <row r="10" spans="1:10" ht="85" customHeight="1">
      <c r="A10" s="5" t="s">
        <v>26</v>
      </c>
      <c r="B10" s="5" t="s">
        <v>211</v>
      </c>
      <c r="C10" s="5" t="s">
        <v>212</v>
      </c>
      <c r="D10" s="5" t="s">
        <v>213</v>
      </c>
      <c r="E10" s="5" t="s">
        <v>214</v>
      </c>
      <c r="F10" s="5" t="s">
        <v>215</v>
      </c>
      <c r="G10" s="5" t="s">
        <v>216</v>
      </c>
      <c r="H10" s="5" t="s">
        <v>217</v>
      </c>
      <c r="I10" s="5" t="s">
        <v>218</v>
      </c>
      <c r="J10" s="1"/>
    </row>
    <row r="11" spans="1:10" ht="85" customHeight="1">
      <c r="A11" s="6" t="s">
        <v>31</v>
      </c>
      <c r="B11" s="6" t="s">
        <v>180</v>
      </c>
      <c r="C11" s="6" t="s">
        <v>219</v>
      </c>
      <c r="D11" s="6" t="s">
        <v>220</v>
      </c>
      <c r="E11" s="6" t="s">
        <v>221</v>
      </c>
      <c r="F11" s="6" t="s">
        <v>222</v>
      </c>
      <c r="G11" s="6" t="s">
        <v>223</v>
      </c>
      <c r="H11" s="6" t="s">
        <v>224</v>
      </c>
      <c r="I11" s="6" t="s">
        <v>225</v>
      </c>
      <c r="J11" s="1"/>
    </row>
    <row r="12" spans="1:10" ht="85" customHeight="1">
      <c r="A12" s="5" t="s">
        <v>35</v>
      </c>
      <c r="B12" s="5" t="s">
        <v>226</v>
      </c>
      <c r="C12" s="5" t="s">
        <v>227</v>
      </c>
      <c r="D12" s="5" t="s">
        <v>228</v>
      </c>
      <c r="E12" s="5" t="s">
        <v>229</v>
      </c>
      <c r="F12" s="5" t="s">
        <v>230</v>
      </c>
      <c r="G12" s="5" t="s">
        <v>231</v>
      </c>
      <c r="H12" s="5" t="s">
        <v>232</v>
      </c>
      <c r="I12" s="5" t="s">
        <v>233</v>
      </c>
      <c r="J12" s="1"/>
    </row>
    <row r="13" spans="1:10" ht="85" customHeight="1">
      <c r="A13" s="6" t="s">
        <v>39</v>
      </c>
      <c r="B13" s="6" t="s">
        <v>234</v>
      </c>
      <c r="C13" s="6" t="s">
        <v>235</v>
      </c>
      <c r="D13" s="6" t="s">
        <v>236</v>
      </c>
      <c r="E13" s="6" t="s">
        <v>237</v>
      </c>
      <c r="F13" s="6" t="s">
        <v>238</v>
      </c>
      <c r="G13" s="6" t="s">
        <v>239</v>
      </c>
      <c r="H13" s="6" t="s">
        <v>240</v>
      </c>
      <c r="I13" s="6" t="s">
        <v>241</v>
      </c>
      <c r="J13" s="1"/>
    </row>
    <row r="14" spans="1:10" ht="25" customHeight="1">
      <c r="A14" s="1"/>
      <c r="B14" s="1"/>
      <c r="C14" s="1"/>
      <c r="D14" s="1"/>
      <c r="E14" s="1"/>
      <c r="F14" s="1"/>
      <c r="G14" s="1"/>
      <c r="H14" s="1"/>
      <c r="I14" s="1"/>
      <c r="J14" s="1"/>
    </row>
    <row r="15" spans="1:10" ht="25" customHeight="1">
      <c r="A15" s="1"/>
      <c r="B15" s="1"/>
      <c r="C15" s="1"/>
      <c r="D15" s="1"/>
      <c r="E15" s="1"/>
      <c r="F15" s="1"/>
      <c r="G15" s="1"/>
      <c r="H15" s="1"/>
      <c r="I15" s="1"/>
      <c r="J15" s="1"/>
    </row>
    <row r="16" spans="1:10" ht="25" customHeight="1">
      <c r="A16" s="1"/>
      <c r="B16" s="1"/>
      <c r="C16" s="1"/>
      <c r="D16" s="1"/>
      <c r="E16" s="1"/>
      <c r="F16" s="1"/>
      <c r="G16" s="1"/>
      <c r="H16" s="1"/>
      <c r="I16" s="1"/>
      <c r="J16" s="1"/>
    </row>
    <row r="17" spans="1:10" ht="25" customHeight="1">
      <c r="A17" s="1" t="s">
        <v>242</v>
      </c>
      <c r="B17" s="1"/>
      <c r="C17" s="1"/>
      <c r="D17" s="1"/>
      <c r="E17" s="1"/>
      <c r="F17" s="1"/>
      <c r="G17" s="1"/>
      <c r="H17" s="1"/>
      <c r="I17" s="1"/>
      <c r="J17" s="1"/>
    </row>
    <row r="18" spans="1:10" ht="25" customHeight="1">
      <c r="A18" s="1" t="s">
        <v>243</v>
      </c>
      <c r="B18" s="1"/>
      <c r="C18" s="1"/>
      <c r="D18" s="1"/>
      <c r="E18" s="1"/>
      <c r="F18" s="1"/>
      <c r="G18" s="1"/>
      <c r="H18" s="1"/>
      <c r="I18" s="1"/>
      <c r="J18" s="1"/>
    </row>
    <row r="19" spans="1:10" ht="25" customHeight="1">
      <c r="A19" s="1"/>
      <c r="B19" s="1"/>
      <c r="C19" s="1"/>
      <c r="D19" s="1"/>
      <c r="E19" s="1"/>
      <c r="F19" s="1"/>
      <c r="G19" s="1"/>
      <c r="H19" s="1"/>
      <c r="I19" s="1"/>
      <c r="J19" s="1"/>
    </row>
    <row r="20" spans="1:10" ht="36" customHeight="1">
      <c r="A20" s="11" t="s">
        <v>244</v>
      </c>
      <c r="B20" s="11" t="s">
        <v>245</v>
      </c>
      <c r="C20" s="11" t="s">
        <v>246</v>
      </c>
      <c r="D20" s="11" t="s">
        <v>247</v>
      </c>
      <c r="E20" s="11" t="s">
        <v>248</v>
      </c>
      <c r="F20" s="11" t="s">
        <v>249</v>
      </c>
      <c r="G20" s="1"/>
      <c r="H20" s="1"/>
      <c r="I20" s="1"/>
      <c r="J20" s="1"/>
    </row>
    <row r="21" spans="1:10" ht="25" customHeight="1">
      <c r="A21" s="1" t="s">
        <v>250</v>
      </c>
      <c r="B21" s="12">
        <v>0.5</v>
      </c>
      <c r="C21" s="12">
        <f>SUM(B$21:B21)</f>
        <v>0.5</v>
      </c>
      <c r="D21" s="10">
        <f>C21*政策金额数据!E6</f>
        <v>50</v>
      </c>
      <c r="E21" s="10">
        <f>C21*政策金额数据!F6</f>
        <v>150</v>
      </c>
      <c r="F21" s="1" t="s">
        <v>251</v>
      </c>
      <c r="G21" s="1"/>
      <c r="H21" s="1"/>
      <c r="I21" s="1"/>
      <c r="J21" s="1"/>
    </row>
    <row r="22" spans="1:10" ht="25" customHeight="1">
      <c r="A22" s="1" t="s">
        <v>252</v>
      </c>
      <c r="B22" s="12">
        <v>0.3</v>
      </c>
      <c r="C22" s="12">
        <f>SUM(B$21:B22)</f>
        <v>0.8</v>
      </c>
      <c r="D22" s="10">
        <f>C22*政策金额数据!E6</f>
        <v>80</v>
      </c>
      <c r="E22" s="10">
        <f>C22*政策金额数据!F6</f>
        <v>240</v>
      </c>
      <c r="F22" s="1" t="s">
        <v>253</v>
      </c>
      <c r="G22" s="1"/>
      <c r="H22" s="1"/>
      <c r="I22" s="1"/>
      <c r="J22" s="1"/>
    </row>
    <row r="23" spans="1:10" ht="25" customHeight="1">
      <c r="A23" s="1" t="s">
        <v>254</v>
      </c>
      <c r="B23" s="12">
        <v>0.2</v>
      </c>
      <c r="C23" s="12">
        <f>SUM(B$21:B23)</f>
        <v>1</v>
      </c>
      <c r="D23" s="10">
        <f>C23*政策金额数据!E6</f>
        <v>100</v>
      </c>
      <c r="E23" s="10">
        <f>C23*政策金额数据!F6</f>
        <v>300</v>
      </c>
      <c r="F23" s="1" t="s">
        <v>255</v>
      </c>
      <c r="G23" s="1"/>
      <c r="H23" s="1"/>
      <c r="I23" s="1"/>
      <c r="J23" s="1"/>
    </row>
    <row r="24" spans="1:10" ht="25" customHeight="1">
      <c r="A24" s="1"/>
      <c r="B24" s="1"/>
      <c r="C24" s="1"/>
      <c r="D24" s="1"/>
      <c r="E24" s="1"/>
      <c r="F24" s="1"/>
      <c r="G24" s="1"/>
      <c r="H24" s="1"/>
      <c r="I24" s="1"/>
      <c r="J24" s="1"/>
    </row>
    <row r="25" spans="1:10" ht="25" customHeight="1">
      <c r="A25" s="1"/>
      <c r="B25" s="1"/>
      <c r="C25" s="1"/>
      <c r="D25" s="1"/>
      <c r="E25" s="1"/>
      <c r="F25" s="1"/>
      <c r="G25" s="1"/>
      <c r="H25" s="1"/>
      <c r="I25" s="1"/>
      <c r="J25" s="1"/>
    </row>
    <row r="26" spans="1:10" ht="25" customHeight="1">
      <c r="A26" s="1"/>
      <c r="B26" s="1"/>
      <c r="C26" s="1"/>
      <c r="D26" s="1"/>
      <c r="E26" s="1"/>
      <c r="F26" s="1"/>
      <c r="G26" s="1"/>
      <c r="H26" s="1"/>
      <c r="I26" s="1"/>
      <c r="J26" s="1"/>
    </row>
    <row r="27" spans="1:10" ht="25" customHeight="1">
      <c r="A27" s="1"/>
      <c r="B27" s="1"/>
      <c r="C27" s="1"/>
      <c r="D27" s="1"/>
      <c r="E27" s="1"/>
      <c r="F27" s="1"/>
      <c r="G27" s="1"/>
      <c r="H27" s="1"/>
      <c r="I27" s="1"/>
      <c r="J27" s="1"/>
    </row>
    <row r="28" spans="1:10" ht="25" customHeight="1">
      <c r="A28" s="1"/>
      <c r="B28" s="1"/>
      <c r="C28" s="1"/>
      <c r="D28" s="1"/>
      <c r="E28" s="1"/>
      <c r="F28" s="1"/>
      <c r="G28" s="1"/>
      <c r="H28" s="1"/>
      <c r="I28" s="1"/>
      <c r="J28" s="1"/>
    </row>
    <row r="29" spans="1:10" ht="25" customHeight="1">
      <c r="A29" s="1"/>
      <c r="B29" s="1"/>
      <c r="C29" s="1"/>
      <c r="D29" s="1"/>
      <c r="E29" s="1"/>
      <c r="F29" s="1"/>
      <c r="G29" s="1"/>
      <c r="H29" s="1"/>
      <c r="I29" s="1"/>
      <c r="J29" s="1"/>
    </row>
    <row r="30" spans="1:10" ht="25" customHeight="1">
      <c r="A30" s="1"/>
      <c r="B30" s="1"/>
      <c r="C30" s="1"/>
      <c r="D30" s="1"/>
      <c r="E30" s="1"/>
      <c r="F30" s="1"/>
      <c r="G30" s="1"/>
      <c r="H30" s="1"/>
      <c r="I30" s="1"/>
      <c r="J30" s="1"/>
    </row>
    <row r="31" spans="1:10" ht="25" customHeight="1">
      <c r="A31" s="1"/>
      <c r="B31" s="1"/>
      <c r="C31" s="1"/>
      <c r="D31" s="1"/>
      <c r="E31" s="1"/>
      <c r="F31" s="1"/>
      <c r="G31" s="1"/>
      <c r="H31" s="1"/>
      <c r="I31" s="1"/>
      <c r="J31" s="1"/>
    </row>
    <row r="32" spans="1:10" ht="25" customHeight="1">
      <c r="A32" s="1"/>
      <c r="B32" s="1"/>
      <c r="C32" s="1"/>
      <c r="D32" s="1"/>
      <c r="E32" s="1"/>
      <c r="F32" s="1"/>
      <c r="G32" s="1"/>
      <c r="H32" s="1"/>
      <c r="I32" s="1"/>
      <c r="J32" s="1"/>
    </row>
    <row r="33" spans="1:10" ht="25" customHeight="1">
      <c r="A33" s="1"/>
      <c r="B33" s="1"/>
      <c r="C33" s="1"/>
      <c r="D33" s="1"/>
      <c r="E33" s="1"/>
      <c r="F33" s="1"/>
      <c r="G33" s="1"/>
      <c r="H33" s="1"/>
      <c r="I33" s="1"/>
      <c r="J33" s="1"/>
    </row>
    <row r="34" spans="1:10" ht="25" customHeight="1">
      <c r="A34" s="1"/>
      <c r="B34" s="1"/>
      <c r="C34" s="1"/>
      <c r="D34" s="1"/>
      <c r="E34" s="1"/>
      <c r="F34" s="1"/>
      <c r="G34" s="1"/>
      <c r="H34" s="1"/>
      <c r="I34" s="1"/>
      <c r="J34" s="1"/>
    </row>
    <row r="35" spans="1:10" ht="25" customHeight="1">
      <c r="A35" s="1"/>
      <c r="B35" s="1"/>
      <c r="C35" s="1"/>
      <c r="D35" s="1"/>
      <c r="E35" s="1"/>
      <c r="F35" s="1"/>
      <c r="G35" s="1"/>
      <c r="H35" s="1"/>
      <c r="I35" s="1"/>
      <c r="J35" s="1"/>
    </row>
    <row r="36" spans="1:10" ht="25" customHeight="1">
      <c r="A36" s="1"/>
      <c r="B36" s="1"/>
      <c r="C36" s="1"/>
      <c r="D36" s="1"/>
      <c r="E36" s="1"/>
      <c r="F36" s="1"/>
      <c r="G36" s="1"/>
      <c r="H36" s="1"/>
      <c r="I36" s="1"/>
      <c r="J36" s="1"/>
    </row>
    <row r="37" spans="1:10" ht="25" customHeight="1">
      <c r="A37" s="1"/>
      <c r="B37" s="1"/>
      <c r="C37" s="1"/>
      <c r="D37" s="1"/>
      <c r="E37" s="1"/>
      <c r="F37" s="1"/>
      <c r="G37" s="1"/>
      <c r="H37" s="1"/>
      <c r="I37" s="1"/>
      <c r="J37" s="1"/>
    </row>
    <row r="38" spans="1:10" ht="25" customHeight="1">
      <c r="A38" s="1"/>
      <c r="B38" s="1"/>
      <c r="C38" s="1"/>
      <c r="D38" s="1"/>
      <c r="E38" s="1"/>
      <c r="F38" s="1"/>
      <c r="G38" s="1"/>
      <c r="H38" s="1"/>
      <c r="I38" s="1"/>
      <c r="J38" s="1"/>
    </row>
    <row r="39" spans="1:10" ht="25" customHeight="1">
      <c r="A39" s="1"/>
      <c r="B39" s="1"/>
      <c r="C39" s="1"/>
      <c r="D39" s="1"/>
      <c r="E39" s="1"/>
      <c r="F39" s="1"/>
      <c r="G39" s="1"/>
      <c r="H39" s="1"/>
      <c r="I39" s="1"/>
      <c r="J39" s="1"/>
    </row>
    <row r="40" spans="1:10" ht="25" customHeight="1">
      <c r="A40" s="1"/>
      <c r="B40" s="1"/>
      <c r="C40" s="1"/>
      <c r="D40" s="1"/>
      <c r="E40" s="1"/>
      <c r="F40" s="1"/>
      <c r="G40" s="1"/>
      <c r="H40" s="1"/>
      <c r="I40" s="1"/>
      <c r="J40" s="1"/>
    </row>
    <row r="41" spans="1:10" ht="25" customHeight="1">
      <c r="A41" s="1"/>
      <c r="B41" s="1"/>
      <c r="C41" s="1"/>
      <c r="D41" s="1"/>
      <c r="E41" s="1"/>
      <c r="F41" s="1"/>
      <c r="G41" s="1"/>
      <c r="H41" s="1"/>
      <c r="I41" s="1"/>
      <c r="J41" s="1"/>
    </row>
    <row r="42" spans="1:10" ht="25" customHeight="1">
      <c r="A42" s="1"/>
      <c r="B42" s="1"/>
      <c r="C42" s="1"/>
      <c r="D42" s="1"/>
      <c r="E42" s="1"/>
      <c r="F42" s="1"/>
      <c r="G42" s="1"/>
      <c r="H42" s="1"/>
      <c r="I42" s="1"/>
      <c r="J42" s="1"/>
    </row>
    <row r="43" spans="1:10" ht="25" customHeight="1">
      <c r="A43" s="1" t="s">
        <v>256</v>
      </c>
      <c r="B43" s="1"/>
      <c r="C43" s="1"/>
      <c r="D43" s="1"/>
      <c r="E43" s="1"/>
      <c r="F43" s="1"/>
      <c r="G43" s="1"/>
      <c r="H43" s="1"/>
      <c r="I43" s="1"/>
      <c r="J43" s="1"/>
    </row>
    <row r="44" spans="1:10" ht="25" customHeight="1">
      <c r="A44" s="1"/>
      <c r="B44" s="1"/>
      <c r="C44" s="1"/>
      <c r="D44" s="1"/>
      <c r="E44" s="1"/>
      <c r="F44" s="1"/>
      <c r="G44" s="1"/>
      <c r="H44" s="1"/>
      <c r="I44" s="1"/>
      <c r="J44" s="1"/>
    </row>
    <row r="45" spans="1:10" ht="25" customHeight="1">
      <c r="A45" s="9" t="s">
        <v>257</v>
      </c>
      <c r="B45" s="9" t="s">
        <v>258</v>
      </c>
      <c r="C45" s="9" t="s">
        <v>259</v>
      </c>
      <c r="D45" s="9" t="s">
        <v>260</v>
      </c>
      <c r="E45" s="1"/>
      <c r="F45" s="1"/>
      <c r="G45" s="1"/>
      <c r="H45" s="1"/>
      <c r="I45" s="1"/>
      <c r="J45" s="1"/>
    </row>
    <row r="46" spans="1:10" ht="25" customHeight="1">
      <c r="A46" s="1" t="s">
        <v>250</v>
      </c>
      <c r="B46" s="1">
        <f>B21*政策金额数据!E6</f>
        <v>50</v>
      </c>
      <c r="C46" s="1">
        <f>B21*政策金额数据!F6</f>
        <v>150</v>
      </c>
      <c r="D46" s="1" t="s">
        <v>261</v>
      </c>
      <c r="E46" s="1"/>
      <c r="F46" s="1"/>
      <c r="G46" s="1"/>
      <c r="H46" s="1"/>
      <c r="I46" s="1"/>
      <c r="J46" s="1"/>
    </row>
    <row r="47" spans="1:10" ht="25" customHeight="1">
      <c r="A47" s="1" t="s">
        <v>252</v>
      </c>
      <c r="B47" s="1">
        <f>B22*政策金额数据!E6</f>
        <v>30</v>
      </c>
      <c r="C47" s="1">
        <f>B22*政策金额数据!F6</f>
        <v>90</v>
      </c>
      <c r="D47" s="1" t="s">
        <v>262</v>
      </c>
      <c r="E47" s="1"/>
      <c r="F47" s="1"/>
      <c r="G47" s="1"/>
      <c r="H47" s="1"/>
      <c r="I47" s="1"/>
      <c r="J47" s="1"/>
    </row>
    <row r="48" spans="1:10" ht="25" customHeight="1">
      <c r="A48" s="1" t="s">
        <v>254</v>
      </c>
      <c r="B48" s="1">
        <f>B23*政策金额数据!E6</f>
        <v>20</v>
      </c>
      <c r="C48" s="1">
        <f>B23*政策金额数据!F6</f>
        <v>60</v>
      </c>
      <c r="D48" s="1" t="s">
        <v>263</v>
      </c>
      <c r="E48" s="1"/>
      <c r="F48" s="1"/>
      <c r="G48" s="1"/>
      <c r="H48" s="1"/>
      <c r="I48" s="1"/>
      <c r="J48" s="1"/>
    </row>
    <row r="49" spans="1:10" ht="25" customHeight="1">
      <c r="A49" s="1"/>
      <c r="B49" s="1"/>
      <c r="C49" s="1"/>
      <c r="D49" s="1"/>
      <c r="E49" s="1"/>
      <c r="F49" s="1"/>
      <c r="G49" s="1"/>
      <c r="H49" s="1"/>
      <c r="I49" s="1"/>
      <c r="J49" s="1"/>
    </row>
    <row r="50" spans="1:10" ht="25" customHeight="1">
      <c r="A50" s="1"/>
      <c r="B50" s="1"/>
      <c r="C50" s="1"/>
      <c r="D50" s="1"/>
      <c r="E50" s="1"/>
      <c r="F50" s="1"/>
      <c r="G50" s="1"/>
      <c r="H50" s="1"/>
      <c r="I50" s="1"/>
      <c r="J50" s="1"/>
    </row>
    <row r="51" spans="1:10" ht="25" customHeight="1">
      <c r="A51" s="1"/>
      <c r="B51" s="1"/>
      <c r="C51" s="1"/>
      <c r="D51" s="1"/>
      <c r="E51" s="1"/>
      <c r="F51" s="1"/>
      <c r="G51" s="1"/>
      <c r="H51" s="1"/>
      <c r="I51" s="1"/>
      <c r="J51" s="1"/>
    </row>
    <row r="52" spans="1:10" ht="25" customHeight="1">
      <c r="A52" s="1"/>
      <c r="B52" s="1"/>
      <c r="C52" s="1"/>
      <c r="D52" s="1"/>
      <c r="E52" s="1"/>
      <c r="F52" s="1"/>
      <c r="G52" s="1"/>
      <c r="H52" s="1"/>
      <c r="I52" s="1"/>
      <c r="J52" s="1"/>
    </row>
    <row r="53" spans="1:10" ht="25" customHeight="1">
      <c r="A53" s="1"/>
      <c r="B53" s="1"/>
      <c r="C53" s="1"/>
      <c r="D53" s="1"/>
      <c r="E53" s="1"/>
      <c r="F53" s="1"/>
      <c r="G53" s="1"/>
      <c r="H53" s="1"/>
      <c r="I53" s="1"/>
      <c r="J53" s="1"/>
    </row>
    <row r="54" spans="1:10" ht="25" customHeight="1">
      <c r="A54" s="1"/>
      <c r="B54" s="1"/>
      <c r="C54" s="1"/>
      <c r="D54" s="1"/>
      <c r="E54" s="1"/>
      <c r="F54" s="1"/>
      <c r="G54" s="1"/>
      <c r="H54" s="1"/>
      <c r="I54" s="1"/>
      <c r="J54" s="1"/>
    </row>
    <row r="55" spans="1:10" ht="25" customHeight="1">
      <c r="A55" s="1"/>
      <c r="B55" s="1"/>
      <c r="C55" s="1"/>
      <c r="D55" s="1"/>
      <c r="E55" s="1"/>
      <c r="F55" s="1"/>
      <c r="G55" s="1"/>
      <c r="H55" s="1"/>
      <c r="I55" s="1"/>
      <c r="J55" s="1"/>
    </row>
    <row r="56" spans="1:10" ht="25" customHeight="1">
      <c r="A56" s="1"/>
      <c r="B56" s="1"/>
      <c r="C56" s="1"/>
      <c r="D56" s="1"/>
      <c r="E56" s="1"/>
      <c r="F56" s="1"/>
      <c r="G56" s="1"/>
      <c r="H56" s="1"/>
      <c r="I56" s="1"/>
      <c r="J56" s="1"/>
    </row>
    <row r="57" spans="1:10" ht="25" customHeight="1">
      <c r="A57" s="1"/>
      <c r="B57" s="1"/>
      <c r="C57" s="1"/>
      <c r="D57" s="1"/>
      <c r="E57" s="1"/>
      <c r="F57" s="1"/>
      <c r="G57" s="1"/>
      <c r="H57" s="1"/>
      <c r="I57" s="1"/>
      <c r="J57" s="1"/>
    </row>
    <row r="58" spans="1:10" ht="25" customHeight="1">
      <c r="A58" s="1"/>
      <c r="B58" s="1"/>
      <c r="C58" s="1"/>
      <c r="D58" s="1"/>
      <c r="E58" s="1"/>
      <c r="F58" s="1"/>
      <c r="G58" s="1"/>
      <c r="H58" s="1"/>
      <c r="I58" s="1"/>
      <c r="J58" s="1"/>
    </row>
    <row r="59" spans="1:10" ht="25" customHeight="1">
      <c r="A59" s="1"/>
      <c r="B59" s="1"/>
      <c r="C59" s="1"/>
      <c r="D59" s="1"/>
      <c r="E59" s="1"/>
      <c r="F59" s="1"/>
      <c r="G59" s="1"/>
      <c r="H59" s="1"/>
      <c r="I59" s="1"/>
      <c r="J59" s="1"/>
    </row>
  </sheetData>
  <phoneticPr fontId="9" type="noConversion"/>
  <pageMargins left="0.7" right="0.7" top="0.75" bottom="0.75" header="0.511811023622047" footer="0.511811023622047"/>
  <pageSetup paperSize="9" orientation="portrait" horizontalDpi="300" verticalDpi="300"/>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3"/>
  <sheetViews>
    <sheetView showGridLines="0" zoomScaleNormal="100" workbookViewId="0">
      <pane ySplit="5" topLeftCell="A6" activePane="bottomLeft" state="frozen"/>
      <selection pane="bottomLeft"/>
    </sheetView>
  </sheetViews>
  <sheetFormatPr defaultColWidth="8.6328125" defaultRowHeight="12.5"/>
  <cols>
    <col min="1" max="1" width="23" customWidth="1"/>
    <col min="2" max="2" width="18" customWidth="1"/>
    <col min="3" max="3" width="32" customWidth="1"/>
    <col min="4" max="4" width="16" customWidth="1"/>
    <col min="5" max="5" width="42" customWidth="1"/>
    <col min="6" max="6" width="59" customWidth="1"/>
    <col min="7" max="7" width="60" customWidth="1"/>
    <col min="8" max="8" width="69" customWidth="1"/>
    <col min="9" max="9" width="72" customWidth="1"/>
    <col min="10" max="10" width="67" customWidth="1"/>
    <col min="11" max="11" width="96" customWidth="1"/>
    <col min="12" max="12" width="53" customWidth="1"/>
    <col min="13" max="13" width="42" customWidth="1"/>
  </cols>
  <sheetData>
    <row r="1" spans="1:13" ht="25" customHeight="1">
      <c r="A1" s="1"/>
      <c r="B1" s="1"/>
      <c r="C1" s="1"/>
      <c r="D1" s="1"/>
      <c r="E1" s="1"/>
      <c r="F1" s="1"/>
      <c r="G1" s="1"/>
      <c r="H1" s="1"/>
      <c r="I1" s="1"/>
      <c r="J1" s="1"/>
      <c r="K1" s="1"/>
      <c r="L1" s="1"/>
      <c r="M1" s="1"/>
    </row>
    <row r="2" spans="1:13" ht="25" customHeight="1">
      <c r="A2" s="2" t="s">
        <v>264</v>
      </c>
      <c r="B2" s="1"/>
      <c r="C2" s="1"/>
      <c r="D2" s="1"/>
      <c r="E2" s="1"/>
      <c r="F2" s="1"/>
      <c r="G2" s="1"/>
      <c r="H2" s="1"/>
      <c r="I2" s="1"/>
      <c r="J2" s="1"/>
      <c r="K2" s="1"/>
      <c r="L2" s="1"/>
      <c r="M2" s="1"/>
    </row>
    <row r="3" spans="1:13" ht="25" customHeight="1">
      <c r="A3" s="3" t="s">
        <v>265</v>
      </c>
      <c r="B3" s="1"/>
      <c r="C3" s="1"/>
      <c r="D3" s="1"/>
      <c r="E3" s="1"/>
      <c r="F3" s="1"/>
      <c r="G3" s="1"/>
      <c r="H3" s="1"/>
      <c r="I3" s="1"/>
      <c r="J3" s="1"/>
      <c r="K3" s="1"/>
      <c r="L3" s="1"/>
      <c r="M3" s="1"/>
    </row>
    <row r="4" spans="1:13" ht="25" customHeight="1">
      <c r="A4" s="1"/>
      <c r="B4" s="1"/>
      <c r="C4" s="1"/>
      <c r="D4" s="1"/>
      <c r="E4" s="1"/>
      <c r="F4" s="1"/>
      <c r="G4" s="1"/>
      <c r="H4" s="1"/>
      <c r="I4" s="1"/>
      <c r="J4" s="1"/>
      <c r="K4" s="1"/>
      <c r="L4" s="1"/>
      <c r="M4" s="1"/>
    </row>
    <row r="5" spans="1:13" ht="40" customHeight="1">
      <c r="A5" s="4" t="s">
        <v>2</v>
      </c>
      <c r="B5" s="4" t="s">
        <v>266</v>
      </c>
      <c r="C5" s="4" t="s">
        <v>267</v>
      </c>
      <c r="D5" s="4" t="s">
        <v>268</v>
      </c>
      <c r="E5" s="4" t="s">
        <v>269</v>
      </c>
      <c r="F5" s="4" t="s">
        <v>270</v>
      </c>
      <c r="G5" s="4" t="s">
        <v>271</v>
      </c>
      <c r="H5" s="4" t="s">
        <v>272</v>
      </c>
      <c r="I5" s="4" t="s">
        <v>273</v>
      </c>
      <c r="J5" s="4" t="s">
        <v>274</v>
      </c>
      <c r="K5" s="4" t="s">
        <v>275</v>
      </c>
      <c r="L5" s="4" t="s">
        <v>276</v>
      </c>
      <c r="M5" s="4" t="s">
        <v>179</v>
      </c>
    </row>
    <row r="6" spans="1:13" ht="100" customHeight="1">
      <c r="A6" s="5" t="s">
        <v>7</v>
      </c>
      <c r="B6" s="5" t="s">
        <v>277</v>
      </c>
      <c r="C6" s="5" t="s">
        <v>278</v>
      </c>
      <c r="D6" s="5">
        <v>100</v>
      </c>
      <c r="E6" s="5" t="s">
        <v>279</v>
      </c>
      <c r="F6" s="5" t="s">
        <v>280</v>
      </c>
      <c r="G6" s="5" t="s">
        <v>281</v>
      </c>
      <c r="H6" s="5" t="s">
        <v>282</v>
      </c>
      <c r="I6" s="5" t="s">
        <v>283</v>
      </c>
      <c r="J6" s="5" t="s">
        <v>284</v>
      </c>
      <c r="K6" s="5" t="s">
        <v>285</v>
      </c>
      <c r="L6" s="5" t="s">
        <v>286</v>
      </c>
      <c r="M6" s="5" t="s">
        <v>287</v>
      </c>
    </row>
    <row r="7" spans="1:13" ht="100" customHeight="1">
      <c r="A7" s="6" t="s">
        <v>12</v>
      </c>
      <c r="B7" s="6" t="s">
        <v>288</v>
      </c>
      <c r="C7" s="6" t="s">
        <v>278</v>
      </c>
      <c r="D7" s="6">
        <v>100</v>
      </c>
      <c r="E7" s="6" t="s">
        <v>289</v>
      </c>
      <c r="F7" s="6" t="s">
        <v>290</v>
      </c>
      <c r="G7" s="6" t="s">
        <v>291</v>
      </c>
      <c r="H7" s="6" t="s">
        <v>292</v>
      </c>
      <c r="I7" s="6" t="s">
        <v>293</v>
      </c>
      <c r="J7" s="6" t="s">
        <v>294</v>
      </c>
      <c r="K7" s="6" t="s">
        <v>295</v>
      </c>
      <c r="L7" s="6" t="s">
        <v>296</v>
      </c>
      <c r="M7" s="6" t="s">
        <v>297</v>
      </c>
    </row>
    <row r="8" spans="1:13" ht="100" customHeight="1">
      <c r="A8" s="5" t="s">
        <v>16</v>
      </c>
      <c r="B8" s="5" t="s">
        <v>277</v>
      </c>
      <c r="C8" s="5" t="s">
        <v>298</v>
      </c>
      <c r="D8" s="5">
        <v>100</v>
      </c>
      <c r="E8" s="5" t="s">
        <v>299</v>
      </c>
      <c r="F8" s="5" t="s">
        <v>300</v>
      </c>
      <c r="G8" s="5" t="s">
        <v>301</v>
      </c>
      <c r="H8" s="5" t="s">
        <v>302</v>
      </c>
      <c r="I8" s="5" t="s">
        <v>303</v>
      </c>
      <c r="J8" s="5" t="s">
        <v>304</v>
      </c>
      <c r="K8" s="5" t="s">
        <v>305</v>
      </c>
      <c r="L8" s="5" t="s">
        <v>306</v>
      </c>
      <c r="M8" s="5" t="s">
        <v>307</v>
      </c>
    </row>
    <row r="9" spans="1:13" ht="100" customHeight="1">
      <c r="A9" s="6" t="s">
        <v>21</v>
      </c>
      <c r="B9" s="6" t="s">
        <v>277</v>
      </c>
      <c r="C9" s="6" t="s">
        <v>278</v>
      </c>
      <c r="D9" s="6">
        <v>100</v>
      </c>
      <c r="E9" s="6" t="s">
        <v>308</v>
      </c>
      <c r="F9" s="6" t="s">
        <v>309</v>
      </c>
      <c r="G9" s="6" t="s">
        <v>310</v>
      </c>
      <c r="H9" s="6" t="s">
        <v>311</v>
      </c>
      <c r="I9" s="6" t="s">
        <v>312</v>
      </c>
      <c r="J9" s="6" t="s">
        <v>313</v>
      </c>
      <c r="K9" s="6" t="s">
        <v>314</v>
      </c>
      <c r="L9" s="6" t="s">
        <v>315</v>
      </c>
      <c r="M9" s="6" t="s">
        <v>316</v>
      </c>
    </row>
    <row r="10" spans="1:13" ht="100" customHeight="1">
      <c r="A10" s="5" t="s">
        <v>26</v>
      </c>
      <c r="B10" s="5" t="s">
        <v>277</v>
      </c>
      <c r="C10" s="5" t="s">
        <v>317</v>
      </c>
      <c r="D10" s="5">
        <v>100</v>
      </c>
      <c r="E10" s="5" t="s">
        <v>318</v>
      </c>
      <c r="F10" s="5" t="s">
        <v>319</v>
      </c>
      <c r="G10" s="5" t="s">
        <v>320</v>
      </c>
      <c r="H10" s="5" t="s">
        <v>321</v>
      </c>
      <c r="I10" s="5" t="s">
        <v>322</v>
      </c>
      <c r="J10" s="5" t="s">
        <v>323</v>
      </c>
      <c r="K10" s="5" t="s">
        <v>324</v>
      </c>
      <c r="L10" s="5" t="s">
        <v>325</v>
      </c>
      <c r="M10" s="5" t="s">
        <v>326</v>
      </c>
    </row>
    <row r="11" spans="1:13" ht="100" customHeight="1">
      <c r="A11" s="6" t="s">
        <v>31</v>
      </c>
      <c r="B11" s="6" t="s">
        <v>277</v>
      </c>
      <c r="C11" s="6" t="s">
        <v>317</v>
      </c>
      <c r="D11" s="6">
        <v>100</v>
      </c>
      <c r="E11" s="6" t="s">
        <v>327</v>
      </c>
      <c r="F11" s="6" t="s">
        <v>328</v>
      </c>
      <c r="G11" s="6" t="s">
        <v>329</v>
      </c>
      <c r="H11" s="6" t="s">
        <v>311</v>
      </c>
      <c r="I11" s="6" t="s">
        <v>330</v>
      </c>
      <c r="J11" s="6" t="s">
        <v>331</v>
      </c>
      <c r="K11" s="6" t="s">
        <v>332</v>
      </c>
      <c r="L11" s="6" t="s">
        <v>333</v>
      </c>
      <c r="M11" s="6" t="s">
        <v>334</v>
      </c>
    </row>
    <row r="12" spans="1:13" ht="100" customHeight="1">
      <c r="A12" s="5" t="s">
        <v>35</v>
      </c>
      <c r="B12" s="5" t="s">
        <v>277</v>
      </c>
      <c r="C12" s="5" t="s">
        <v>278</v>
      </c>
      <c r="D12" s="5">
        <v>100</v>
      </c>
      <c r="E12" s="5" t="s">
        <v>308</v>
      </c>
      <c r="F12" s="5" t="s">
        <v>335</v>
      </c>
      <c r="G12" s="5" t="s">
        <v>336</v>
      </c>
      <c r="H12" s="5" t="s">
        <v>337</v>
      </c>
      <c r="I12" s="5" t="s">
        <v>338</v>
      </c>
      <c r="J12" s="5" t="s">
        <v>339</v>
      </c>
      <c r="K12" s="5" t="s">
        <v>340</v>
      </c>
      <c r="L12" s="5" t="s">
        <v>341</v>
      </c>
      <c r="M12" s="5" t="s">
        <v>342</v>
      </c>
    </row>
    <row r="13" spans="1:13" ht="100" customHeight="1">
      <c r="A13" s="6" t="s">
        <v>39</v>
      </c>
      <c r="B13" s="6" t="s">
        <v>343</v>
      </c>
      <c r="C13" s="6" t="s">
        <v>344</v>
      </c>
      <c r="D13" s="6">
        <v>100</v>
      </c>
      <c r="E13" s="6" t="s">
        <v>345</v>
      </c>
      <c r="F13" s="6" t="s">
        <v>346</v>
      </c>
      <c r="G13" s="6" t="s">
        <v>347</v>
      </c>
      <c r="H13" s="6" t="s">
        <v>348</v>
      </c>
      <c r="I13" s="6" t="s">
        <v>349</v>
      </c>
      <c r="J13" s="6" t="s">
        <v>350</v>
      </c>
      <c r="K13" s="6" t="s">
        <v>351</v>
      </c>
      <c r="L13" s="6" t="s">
        <v>352</v>
      </c>
      <c r="M13" s="6" t="s">
        <v>353</v>
      </c>
    </row>
    <row r="14" spans="1:13" ht="25" customHeight="1">
      <c r="A14" s="1"/>
      <c r="B14" s="1"/>
      <c r="C14" s="1"/>
      <c r="D14" s="1"/>
      <c r="E14" s="1"/>
      <c r="F14" s="1"/>
      <c r="G14" s="1"/>
      <c r="H14" s="1"/>
      <c r="I14" s="1"/>
      <c r="J14" s="1"/>
      <c r="K14" s="1"/>
      <c r="L14" s="1"/>
      <c r="M14" s="1"/>
    </row>
    <row r="15" spans="1:13" ht="25" customHeight="1">
      <c r="A15" s="1"/>
      <c r="B15" s="1"/>
      <c r="C15" s="1"/>
      <c r="D15" s="1"/>
      <c r="E15" s="1"/>
      <c r="F15" s="1"/>
      <c r="G15" s="1"/>
      <c r="H15" s="1"/>
      <c r="I15" s="1"/>
      <c r="J15" s="1"/>
      <c r="K15" s="1"/>
      <c r="L15" s="1"/>
      <c r="M15" s="1"/>
    </row>
    <row r="16" spans="1:13" ht="25" customHeight="1">
      <c r="A16" s="1"/>
      <c r="B16" s="1"/>
      <c r="C16" s="1"/>
      <c r="D16" s="1"/>
      <c r="E16" s="1"/>
      <c r="F16" s="1"/>
      <c r="G16" s="1"/>
      <c r="H16" s="1"/>
      <c r="I16" s="1"/>
      <c r="J16" s="1"/>
      <c r="K16" s="1"/>
      <c r="L16" s="1"/>
      <c r="M16" s="1"/>
    </row>
    <row r="17" spans="1:13" ht="25" customHeight="1">
      <c r="A17" s="1" t="s">
        <v>354</v>
      </c>
      <c r="B17" s="1"/>
      <c r="C17" s="1"/>
      <c r="D17" s="1"/>
      <c r="E17" s="1"/>
      <c r="F17" s="1"/>
      <c r="G17" s="1"/>
      <c r="H17" s="1"/>
      <c r="I17" s="1"/>
      <c r="J17" s="1"/>
      <c r="K17" s="1"/>
      <c r="L17" s="1"/>
      <c r="M17" s="1"/>
    </row>
    <row r="18" spans="1:13" ht="25" customHeight="1">
      <c r="A18" s="1"/>
      <c r="B18" s="1"/>
      <c r="C18" s="1"/>
      <c r="D18" s="1"/>
      <c r="E18" s="1"/>
      <c r="F18" s="1"/>
      <c r="G18" s="1"/>
      <c r="H18" s="1"/>
      <c r="I18" s="1"/>
      <c r="J18" s="1"/>
      <c r="K18" s="1"/>
      <c r="L18" s="1"/>
      <c r="M18" s="1"/>
    </row>
    <row r="19" spans="1:13" ht="25" customHeight="1">
      <c r="A19" s="1" t="s">
        <v>355</v>
      </c>
      <c r="B19" s="1"/>
      <c r="C19" s="1"/>
      <c r="D19" s="1"/>
      <c r="E19" s="1"/>
      <c r="F19" s="1"/>
      <c r="G19" s="1"/>
      <c r="H19" s="1"/>
      <c r="I19" s="1"/>
      <c r="J19" s="1"/>
      <c r="K19" s="1"/>
      <c r="L19" s="1"/>
      <c r="M19" s="1"/>
    </row>
    <row r="20" spans="1:13" ht="25" customHeight="1">
      <c r="A20" s="1"/>
      <c r="B20" s="1"/>
      <c r="C20" s="1"/>
      <c r="D20" s="1"/>
      <c r="E20" s="1"/>
      <c r="F20" s="1"/>
      <c r="G20" s="1"/>
      <c r="H20" s="1"/>
      <c r="I20" s="1"/>
      <c r="J20" s="1"/>
      <c r="K20" s="1"/>
      <c r="L20" s="1"/>
      <c r="M20" s="1"/>
    </row>
    <row r="21" spans="1:13" ht="25" customHeight="1">
      <c r="A21" s="1" t="s">
        <v>356</v>
      </c>
      <c r="B21" s="1"/>
      <c r="C21" s="1"/>
      <c r="D21" s="1"/>
      <c r="E21" s="1"/>
      <c r="F21" s="1"/>
      <c r="G21" s="1"/>
      <c r="H21" s="1"/>
      <c r="I21" s="1"/>
      <c r="J21" s="1"/>
      <c r="K21" s="1"/>
      <c r="L21" s="1"/>
      <c r="M21" s="1"/>
    </row>
    <row r="22" spans="1:13" ht="25" customHeight="1">
      <c r="A22" s="1"/>
      <c r="B22" s="1"/>
      <c r="C22" s="1"/>
      <c r="D22" s="1"/>
      <c r="E22" s="1"/>
      <c r="F22" s="1"/>
      <c r="G22" s="1"/>
      <c r="H22" s="1"/>
      <c r="I22" s="1"/>
      <c r="J22" s="1"/>
      <c r="K22" s="1"/>
      <c r="L22" s="1"/>
      <c r="M22" s="1"/>
    </row>
    <row r="23" spans="1:13" ht="25" customHeight="1">
      <c r="A23" s="1" t="s">
        <v>357</v>
      </c>
      <c r="B23" s="1"/>
      <c r="C23" s="1"/>
      <c r="D23" s="1"/>
      <c r="E23" s="1"/>
      <c r="F23" s="1"/>
      <c r="G23" s="1"/>
      <c r="H23" s="1"/>
      <c r="I23" s="1"/>
      <c r="J23" s="1"/>
      <c r="K23" s="1"/>
      <c r="L23" s="1"/>
      <c r="M23" s="1"/>
    </row>
    <row r="24" spans="1:13" ht="25" customHeight="1">
      <c r="A24" s="1"/>
      <c r="B24" s="1"/>
      <c r="C24" s="1"/>
      <c r="D24" s="1"/>
      <c r="E24" s="1"/>
      <c r="F24" s="1"/>
      <c r="G24" s="1"/>
      <c r="H24" s="1"/>
      <c r="I24" s="1"/>
      <c r="J24" s="1"/>
      <c r="K24" s="1"/>
      <c r="L24" s="1"/>
      <c r="M24" s="1"/>
    </row>
    <row r="25" spans="1:13" ht="25" customHeight="1">
      <c r="A25" s="1" t="s">
        <v>358</v>
      </c>
      <c r="B25" s="1"/>
      <c r="C25" s="1"/>
      <c r="D25" s="1"/>
      <c r="E25" s="1"/>
      <c r="F25" s="1"/>
      <c r="G25" s="1"/>
      <c r="H25" s="1"/>
      <c r="I25" s="1"/>
      <c r="J25" s="1"/>
      <c r="K25" s="1"/>
      <c r="L25" s="1"/>
      <c r="M25" s="1"/>
    </row>
    <row r="26" spans="1:13" ht="25" customHeight="1">
      <c r="A26" s="1"/>
      <c r="B26" s="1"/>
      <c r="C26" s="1"/>
      <c r="D26" s="1"/>
      <c r="E26" s="1"/>
      <c r="F26" s="1"/>
      <c r="G26" s="1"/>
      <c r="H26" s="1"/>
      <c r="I26" s="1"/>
      <c r="J26" s="1"/>
      <c r="K26" s="1"/>
      <c r="L26" s="1"/>
      <c r="M26" s="1"/>
    </row>
    <row r="27" spans="1:13" ht="25" customHeight="1">
      <c r="A27" s="1" t="s">
        <v>359</v>
      </c>
      <c r="B27" s="1"/>
      <c r="C27" s="1"/>
      <c r="D27" s="1"/>
      <c r="E27" s="1"/>
      <c r="F27" s="1"/>
      <c r="G27" s="1"/>
      <c r="H27" s="1"/>
      <c r="I27" s="1"/>
      <c r="J27" s="1"/>
      <c r="K27" s="1"/>
      <c r="L27" s="1"/>
      <c r="M27" s="1"/>
    </row>
    <row r="28" spans="1:13" ht="25" customHeight="1">
      <c r="A28" s="1"/>
      <c r="B28" s="1"/>
      <c r="C28" s="1"/>
      <c r="D28" s="1"/>
      <c r="E28" s="1"/>
      <c r="F28" s="1"/>
      <c r="G28" s="1"/>
      <c r="H28" s="1"/>
      <c r="I28" s="1"/>
      <c r="J28" s="1"/>
      <c r="K28" s="1"/>
      <c r="L28" s="1"/>
      <c r="M28" s="1"/>
    </row>
    <row r="29" spans="1:13" ht="25" customHeight="1">
      <c r="A29" s="1"/>
      <c r="B29" s="1"/>
      <c r="C29" s="1"/>
      <c r="D29" s="1"/>
      <c r="E29" s="1"/>
      <c r="F29" s="1"/>
      <c r="G29" s="1"/>
      <c r="H29" s="1"/>
      <c r="I29" s="1"/>
      <c r="J29" s="1"/>
      <c r="K29" s="1"/>
      <c r="L29" s="1"/>
      <c r="M29" s="1"/>
    </row>
    <row r="30" spans="1:13" ht="25" customHeight="1">
      <c r="A30" s="1"/>
      <c r="B30" s="1"/>
      <c r="C30" s="1"/>
      <c r="D30" s="1"/>
      <c r="E30" s="1"/>
      <c r="F30" s="1"/>
      <c r="G30" s="1"/>
      <c r="H30" s="1"/>
      <c r="I30" s="1"/>
      <c r="J30" s="1"/>
      <c r="K30" s="1"/>
      <c r="L30" s="1"/>
      <c r="M30" s="1"/>
    </row>
    <row r="31" spans="1:13" ht="25" customHeight="1">
      <c r="A31" s="1"/>
      <c r="B31" s="1"/>
      <c r="C31" s="1"/>
      <c r="D31" s="1"/>
      <c r="E31" s="1"/>
      <c r="F31" s="1"/>
      <c r="G31" s="1"/>
      <c r="H31" s="1"/>
      <c r="I31" s="1"/>
      <c r="J31" s="1"/>
      <c r="K31" s="1"/>
      <c r="L31" s="1"/>
      <c r="M31" s="1"/>
    </row>
    <row r="32" spans="1:13" ht="25" customHeight="1">
      <c r="A32" s="1"/>
      <c r="B32" s="1"/>
      <c r="C32" s="1"/>
      <c r="D32" s="1"/>
      <c r="E32" s="1"/>
      <c r="F32" s="1"/>
      <c r="G32" s="1"/>
      <c r="H32" s="1"/>
      <c r="I32" s="1"/>
      <c r="J32" s="1"/>
      <c r="K32" s="1"/>
      <c r="L32" s="1"/>
      <c r="M32" s="1"/>
    </row>
    <row r="33" spans="1:13" ht="25" customHeight="1">
      <c r="A33" s="1"/>
      <c r="B33" s="1"/>
      <c r="C33" s="1"/>
      <c r="D33" s="1"/>
      <c r="E33" s="1"/>
      <c r="F33" s="1"/>
      <c r="G33" s="1"/>
      <c r="H33" s="1"/>
      <c r="I33" s="1"/>
      <c r="J33" s="1"/>
      <c r="K33" s="1"/>
      <c r="L33" s="1"/>
      <c r="M33" s="1"/>
    </row>
    <row r="34" spans="1:13" ht="25" customHeight="1">
      <c r="A34" s="1"/>
      <c r="B34" s="1"/>
      <c r="C34" s="1"/>
      <c r="D34" s="1"/>
      <c r="E34" s="1"/>
      <c r="F34" s="1"/>
      <c r="G34" s="1"/>
      <c r="H34" s="1"/>
      <c r="I34" s="1"/>
      <c r="J34" s="1"/>
      <c r="K34" s="1"/>
      <c r="L34" s="1"/>
      <c r="M34" s="1"/>
    </row>
    <row r="35" spans="1:13" ht="25" customHeight="1">
      <c r="A35" s="1"/>
      <c r="B35" s="1"/>
      <c r="C35" s="1"/>
      <c r="D35" s="1"/>
      <c r="E35" s="1"/>
      <c r="F35" s="1"/>
      <c r="G35" s="1"/>
      <c r="H35" s="1"/>
      <c r="I35" s="1"/>
      <c r="J35" s="1"/>
      <c r="K35" s="1"/>
      <c r="L35" s="1"/>
      <c r="M35" s="1"/>
    </row>
    <row r="36" spans="1:13" ht="25" customHeight="1">
      <c r="A36" s="1"/>
      <c r="B36" s="1"/>
      <c r="C36" s="1"/>
      <c r="D36" s="1"/>
      <c r="E36" s="1"/>
      <c r="F36" s="1"/>
      <c r="G36" s="1"/>
      <c r="H36" s="1"/>
      <c r="I36" s="1"/>
      <c r="J36" s="1"/>
      <c r="K36" s="1"/>
      <c r="L36" s="1"/>
      <c r="M36" s="1"/>
    </row>
    <row r="37" spans="1:13" ht="25" customHeight="1">
      <c r="A37" s="1"/>
      <c r="B37" s="1"/>
      <c r="C37" s="1"/>
      <c r="D37" s="1"/>
      <c r="E37" s="1"/>
      <c r="F37" s="1"/>
      <c r="G37" s="1"/>
      <c r="H37" s="1"/>
      <c r="I37" s="1"/>
      <c r="J37" s="1"/>
      <c r="K37" s="1"/>
      <c r="L37" s="1"/>
      <c r="M37" s="1"/>
    </row>
    <row r="38" spans="1:13" ht="25" customHeight="1">
      <c r="A38" s="1"/>
      <c r="B38" s="1"/>
      <c r="C38" s="1"/>
      <c r="D38" s="1"/>
      <c r="E38" s="1"/>
      <c r="F38" s="1"/>
      <c r="G38" s="1"/>
      <c r="H38" s="1"/>
      <c r="I38" s="1"/>
      <c r="J38" s="1"/>
      <c r="K38" s="1"/>
      <c r="L38" s="1"/>
      <c r="M38" s="1"/>
    </row>
    <row r="39" spans="1:13" ht="25" customHeight="1">
      <c r="A39" s="1"/>
      <c r="B39" s="1"/>
      <c r="C39" s="1"/>
      <c r="D39" s="1"/>
      <c r="E39" s="1"/>
      <c r="F39" s="1"/>
      <c r="G39" s="1"/>
      <c r="H39" s="1"/>
      <c r="I39" s="1"/>
      <c r="J39" s="1"/>
      <c r="K39" s="1"/>
      <c r="L39" s="1"/>
      <c r="M39" s="1"/>
    </row>
    <row r="40" spans="1:13" ht="25" customHeight="1">
      <c r="A40" s="1"/>
      <c r="B40" s="1"/>
      <c r="C40" s="1"/>
      <c r="D40" s="1"/>
      <c r="E40" s="1"/>
      <c r="F40" s="1"/>
      <c r="G40" s="1"/>
      <c r="H40" s="1"/>
      <c r="I40" s="1"/>
      <c r="J40" s="1"/>
      <c r="K40" s="1"/>
      <c r="L40" s="1"/>
      <c r="M40" s="1"/>
    </row>
    <row r="41" spans="1:13" ht="25" customHeight="1">
      <c r="A41" s="1"/>
      <c r="B41" s="1"/>
      <c r="C41" s="1"/>
      <c r="D41" s="1"/>
      <c r="E41" s="1"/>
      <c r="F41" s="1"/>
      <c r="G41" s="1"/>
      <c r="H41" s="1"/>
      <c r="I41" s="1"/>
      <c r="J41" s="1"/>
      <c r="K41" s="1"/>
      <c r="L41" s="1"/>
      <c r="M41" s="1"/>
    </row>
    <row r="42" spans="1:13" ht="25" customHeight="1">
      <c r="A42" s="1"/>
      <c r="B42" s="1"/>
      <c r="C42" s="1"/>
      <c r="D42" s="1"/>
      <c r="E42" s="1"/>
      <c r="F42" s="1"/>
      <c r="G42" s="1"/>
      <c r="H42" s="1"/>
      <c r="I42" s="1"/>
      <c r="J42" s="1"/>
      <c r="K42" s="1"/>
      <c r="L42" s="1"/>
      <c r="M42" s="1"/>
    </row>
    <row r="43" spans="1:13" ht="25" customHeight="1">
      <c r="A43" s="1"/>
      <c r="B43" s="1"/>
      <c r="C43" s="1"/>
      <c r="D43" s="1"/>
      <c r="E43" s="1"/>
      <c r="F43" s="1"/>
      <c r="G43" s="1"/>
      <c r="H43" s="1"/>
      <c r="I43" s="1"/>
      <c r="J43" s="1"/>
      <c r="K43" s="1"/>
      <c r="L43" s="1"/>
      <c r="M43" s="1"/>
    </row>
  </sheetData>
  <phoneticPr fontId="9" type="noConversion"/>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7"/>
  <sheetViews>
    <sheetView showGridLines="0" zoomScaleNormal="100" workbookViewId="0">
      <pane ySplit="5" topLeftCell="A6" activePane="bottomLeft" state="frozen"/>
      <selection pane="bottomLeft"/>
    </sheetView>
  </sheetViews>
  <sheetFormatPr defaultColWidth="8.6328125" defaultRowHeight="12.5"/>
  <cols>
    <col min="1" max="1" width="23" customWidth="1"/>
    <col min="2" max="2" width="17" customWidth="1"/>
    <col min="3" max="3" width="16" customWidth="1"/>
    <col min="4" max="6" width="18" customWidth="1"/>
    <col min="7" max="7" width="67" customWidth="1"/>
    <col min="8" max="8" width="71" customWidth="1"/>
    <col min="9" max="9" width="77" customWidth="1"/>
    <col min="10" max="10" width="40" customWidth="1"/>
    <col min="11" max="12" width="16" customWidth="1"/>
  </cols>
  <sheetData>
    <row r="1" spans="1:12" ht="25" customHeight="1">
      <c r="A1" s="1"/>
      <c r="B1" s="1"/>
      <c r="C1" s="1"/>
      <c r="D1" s="1"/>
      <c r="E1" s="1"/>
      <c r="F1" s="1"/>
      <c r="G1" s="1"/>
      <c r="H1" s="1"/>
      <c r="I1" s="1"/>
      <c r="J1" s="1"/>
      <c r="K1" s="1"/>
      <c r="L1" s="1"/>
    </row>
    <row r="2" spans="1:12" ht="25" customHeight="1">
      <c r="A2" s="2" t="s">
        <v>360</v>
      </c>
      <c r="B2" s="1"/>
      <c r="C2" s="1"/>
      <c r="D2" s="1"/>
      <c r="E2" s="1"/>
      <c r="F2" s="1"/>
      <c r="G2" s="1"/>
      <c r="H2" s="1"/>
      <c r="I2" s="1"/>
      <c r="J2" s="1"/>
      <c r="K2" s="1"/>
      <c r="L2" s="1"/>
    </row>
    <row r="3" spans="1:12" ht="25" customHeight="1">
      <c r="A3" s="3" t="s">
        <v>361</v>
      </c>
      <c r="B3" s="1"/>
      <c r="C3" s="1"/>
      <c r="D3" s="1"/>
      <c r="E3" s="1"/>
      <c r="F3" s="1"/>
      <c r="G3" s="1"/>
      <c r="H3" s="1"/>
      <c r="I3" s="1"/>
      <c r="J3" s="1"/>
      <c r="K3" s="1"/>
      <c r="L3" s="1"/>
    </row>
    <row r="4" spans="1:12" ht="25" customHeight="1">
      <c r="A4" s="1"/>
      <c r="B4" s="1"/>
      <c r="C4" s="1"/>
      <c r="D4" s="1"/>
      <c r="E4" s="1"/>
      <c r="F4" s="1"/>
      <c r="G4" s="1"/>
      <c r="H4" s="1"/>
      <c r="I4" s="1"/>
      <c r="J4" s="1"/>
      <c r="K4" s="1"/>
      <c r="L4" s="1"/>
    </row>
    <row r="5" spans="1:12" ht="40" customHeight="1">
      <c r="A5" s="4" t="s">
        <v>2</v>
      </c>
      <c r="B5" s="4" t="s">
        <v>362</v>
      </c>
      <c r="C5" s="4" t="s">
        <v>363</v>
      </c>
      <c r="D5" s="4" t="s">
        <v>364</v>
      </c>
      <c r="E5" s="4" t="s">
        <v>365</v>
      </c>
      <c r="F5" s="4" t="s">
        <v>366</v>
      </c>
      <c r="G5" s="4" t="s">
        <v>367</v>
      </c>
      <c r="H5" s="4" t="s">
        <v>368</v>
      </c>
      <c r="I5" s="4" t="s">
        <v>369</v>
      </c>
      <c r="J5" s="4" t="s">
        <v>179</v>
      </c>
      <c r="K5" s="1"/>
      <c r="L5" s="1"/>
    </row>
    <row r="6" spans="1:12" ht="100" customHeight="1">
      <c r="A6" s="5" t="s">
        <v>7</v>
      </c>
      <c r="B6" s="5">
        <v>1000</v>
      </c>
      <c r="C6" s="5">
        <v>3</v>
      </c>
      <c r="D6" s="5">
        <v>1000</v>
      </c>
      <c r="E6" s="5">
        <v>1000</v>
      </c>
      <c r="F6" s="5">
        <v>30</v>
      </c>
      <c r="G6" s="5" t="s">
        <v>370</v>
      </c>
      <c r="H6" s="5" t="s">
        <v>371</v>
      </c>
      <c r="I6" s="5" t="s">
        <v>372</v>
      </c>
      <c r="J6" s="5" t="s">
        <v>373</v>
      </c>
      <c r="K6" s="1"/>
      <c r="L6" s="1"/>
    </row>
    <row r="7" spans="1:12" ht="100" customHeight="1">
      <c r="A7" s="6" t="s">
        <v>12</v>
      </c>
      <c r="B7" s="6"/>
      <c r="C7" s="6"/>
      <c r="D7" s="6"/>
      <c r="E7" s="6"/>
      <c r="F7" s="6"/>
      <c r="G7" s="6" t="s">
        <v>374</v>
      </c>
      <c r="H7" s="6" t="s">
        <v>375</v>
      </c>
      <c r="I7" s="6" t="s">
        <v>376</v>
      </c>
      <c r="J7" s="6" t="s">
        <v>377</v>
      </c>
      <c r="K7" s="1"/>
      <c r="L7" s="1"/>
    </row>
    <row r="8" spans="1:12" ht="100" customHeight="1">
      <c r="A8" s="5" t="s">
        <v>16</v>
      </c>
      <c r="B8" s="5"/>
      <c r="C8" s="5"/>
      <c r="D8" s="5"/>
      <c r="E8" s="5"/>
      <c r="F8" s="5"/>
      <c r="G8" s="5" t="s">
        <v>378</v>
      </c>
      <c r="H8" s="5" t="s">
        <v>379</v>
      </c>
      <c r="I8" s="5" t="s">
        <v>380</v>
      </c>
      <c r="J8" s="5" t="s">
        <v>381</v>
      </c>
      <c r="K8" s="1"/>
      <c r="L8" s="1"/>
    </row>
    <row r="9" spans="1:12" ht="100" customHeight="1">
      <c r="A9" s="6" t="s">
        <v>21</v>
      </c>
      <c r="B9" s="6"/>
      <c r="C9" s="6">
        <v>1</v>
      </c>
      <c r="D9" s="6">
        <v>1500</v>
      </c>
      <c r="E9" s="6">
        <v>1000</v>
      </c>
      <c r="F9" s="6"/>
      <c r="G9" s="6" t="s">
        <v>382</v>
      </c>
      <c r="H9" s="6" t="s">
        <v>383</v>
      </c>
      <c r="I9" s="6" t="s">
        <v>384</v>
      </c>
      <c r="J9" s="6" t="s">
        <v>385</v>
      </c>
      <c r="K9" s="1"/>
      <c r="L9" s="1"/>
    </row>
    <row r="10" spans="1:12" ht="100" customHeight="1">
      <c r="A10" s="5" t="s">
        <v>26</v>
      </c>
      <c r="B10" s="5">
        <v>500</v>
      </c>
      <c r="C10" s="5">
        <v>3</v>
      </c>
      <c r="D10" s="5">
        <v>3000</v>
      </c>
      <c r="E10" s="5"/>
      <c r="F10" s="5">
        <v>150</v>
      </c>
      <c r="G10" s="5" t="s">
        <v>386</v>
      </c>
      <c r="H10" s="5" t="s">
        <v>387</v>
      </c>
      <c r="I10" s="5" t="s">
        <v>388</v>
      </c>
      <c r="J10" s="5" t="s">
        <v>389</v>
      </c>
      <c r="K10" s="1"/>
      <c r="L10" s="1"/>
    </row>
    <row r="11" spans="1:12" ht="100" customHeight="1">
      <c r="A11" s="6" t="s">
        <v>31</v>
      </c>
      <c r="B11" s="6"/>
      <c r="C11" s="6"/>
      <c r="D11" s="6">
        <v>2000</v>
      </c>
      <c r="E11" s="6">
        <v>500</v>
      </c>
      <c r="F11" s="6">
        <v>30</v>
      </c>
      <c r="G11" s="6" t="s">
        <v>390</v>
      </c>
      <c r="H11" s="6" t="s">
        <v>391</v>
      </c>
      <c r="I11" s="6" t="s">
        <v>392</v>
      </c>
      <c r="J11" s="6" t="s">
        <v>393</v>
      </c>
      <c r="K11" s="1"/>
      <c r="L11" s="1"/>
    </row>
    <row r="12" spans="1:12" ht="100" customHeight="1">
      <c r="A12" s="5" t="s">
        <v>35</v>
      </c>
      <c r="B12" s="5"/>
      <c r="C12" s="5"/>
      <c r="D12" s="5"/>
      <c r="E12" s="5"/>
      <c r="F12" s="5"/>
      <c r="G12" s="5" t="s">
        <v>394</v>
      </c>
      <c r="H12" s="5" t="s">
        <v>395</v>
      </c>
      <c r="I12" s="5" t="s">
        <v>396</v>
      </c>
      <c r="J12" s="5" t="s">
        <v>397</v>
      </c>
      <c r="K12" s="1"/>
      <c r="L12" s="1"/>
    </row>
    <row r="13" spans="1:12" ht="100" customHeight="1">
      <c r="A13" s="6" t="s">
        <v>39</v>
      </c>
      <c r="B13" s="6">
        <v>200</v>
      </c>
      <c r="C13" s="6">
        <v>3</v>
      </c>
      <c r="D13" s="6">
        <v>1000</v>
      </c>
      <c r="E13" s="6"/>
      <c r="F13" s="6"/>
      <c r="G13" s="6" t="s">
        <v>398</v>
      </c>
      <c r="H13" s="6" t="s">
        <v>399</v>
      </c>
      <c r="I13" s="6" t="s">
        <v>400</v>
      </c>
      <c r="J13" s="6" t="s">
        <v>401</v>
      </c>
      <c r="K13" s="1"/>
      <c r="L13" s="1"/>
    </row>
    <row r="14" spans="1:12" ht="25" customHeight="1">
      <c r="A14" s="1"/>
      <c r="B14" s="1"/>
      <c r="C14" s="1"/>
      <c r="D14" s="1"/>
      <c r="E14" s="1"/>
      <c r="F14" s="1"/>
      <c r="G14" s="1"/>
      <c r="H14" s="1"/>
      <c r="I14" s="1"/>
      <c r="J14" s="1"/>
      <c r="K14" s="1"/>
      <c r="L14" s="1"/>
    </row>
    <row r="15" spans="1:12" ht="25" customHeight="1">
      <c r="A15" s="1"/>
      <c r="B15" s="1"/>
      <c r="C15" s="1"/>
      <c r="D15" s="1"/>
      <c r="E15" s="1"/>
      <c r="F15" s="1"/>
      <c r="G15" s="1"/>
      <c r="H15" s="1"/>
      <c r="I15" s="1"/>
      <c r="J15" s="1"/>
      <c r="K15" s="1"/>
      <c r="L15" s="1"/>
    </row>
    <row r="16" spans="1:12" ht="25" customHeight="1">
      <c r="A16" s="1"/>
      <c r="B16" s="1"/>
      <c r="C16" s="1"/>
      <c r="D16" s="1"/>
      <c r="E16" s="1"/>
      <c r="F16" s="1"/>
      <c r="G16" s="1"/>
      <c r="H16" s="1"/>
      <c r="I16" s="1"/>
      <c r="J16" s="1"/>
      <c r="K16" s="1"/>
      <c r="L16" s="1"/>
    </row>
    <row r="17" spans="1:12" ht="25" customHeight="1">
      <c r="A17" s="1" t="s">
        <v>402</v>
      </c>
      <c r="B17" s="1"/>
      <c r="C17" s="1"/>
      <c r="D17" s="1"/>
      <c r="E17" s="1"/>
      <c r="F17" s="1"/>
      <c r="G17" s="1"/>
      <c r="H17" s="1"/>
      <c r="I17" s="1"/>
      <c r="J17" s="1"/>
      <c r="K17" s="1"/>
      <c r="L17" s="1"/>
    </row>
    <row r="18" spans="1:12" ht="25" customHeight="1">
      <c r="A18" s="1" t="s">
        <v>403</v>
      </c>
      <c r="B18" s="1"/>
      <c r="C18" s="1"/>
      <c r="D18" s="1"/>
      <c r="E18" s="1"/>
      <c r="F18" s="1"/>
      <c r="G18" s="1"/>
      <c r="H18" s="1"/>
      <c r="I18" s="1"/>
      <c r="J18" s="1"/>
      <c r="K18" s="1"/>
      <c r="L18" s="1"/>
    </row>
    <row r="19" spans="1:12" ht="25" customHeight="1">
      <c r="A19" s="1"/>
      <c r="B19" s="1"/>
      <c r="C19" s="1"/>
      <c r="D19" s="1"/>
      <c r="E19" s="1"/>
      <c r="F19" s="1"/>
      <c r="G19" s="1"/>
      <c r="H19" s="1"/>
      <c r="I19" s="1"/>
      <c r="J19" s="1"/>
      <c r="K19" s="1"/>
      <c r="L19" s="1"/>
    </row>
    <row r="20" spans="1:12" ht="25" customHeight="1">
      <c r="A20" s="1" t="s">
        <v>404</v>
      </c>
      <c r="B20" s="1" t="s">
        <v>21</v>
      </c>
      <c r="C20" s="1" t="s">
        <v>31</v>
      </c>
      <c r="D20" s="1" t="s">
        <v>35</v>
      </c>
      <c r="E20" s="1" t="s">
        <v>39</v>
      </c>
      <c r="F20" s="1" t="s">
        <v>405</v>
      </c>
      <c r="G20" s="1"/>
      <c r="H20" s="1"/>
      <c r="I20" s="1"/>
      <c r="J20" s="1"/>
      <c r="K20" s="1"/>
      <c r="L20" s="1"/>
    </row>
    <row r="21" spans="1:12" ht="25" customHeight="1">
      <c r="A21" s="1" t="s">
        <v>406</v>
      </c>
      <c r="B21" s="1">
        <f>政策金额数据!F9</f>
        <v>400</v>
      </c>
      <c r="C21" s="1">
        <f>政策金额数据!F11</f>
        <v>300</v>
      </c>
      <c r="D21" s="1">
        <f>政策金额数据!F12</f>
        <v>300</v>
      </c>
      <c r="E21" s="1">
        <f>政策金额数据!F13</f>
        <v>100</v>
      </c>
      <c r="F21" s="1">
        <f>MAX(B21:E21)</f>
        <v>400</v>
      </c>
      <c r="G21" s="1"/>
      <c r="H21" s="1"/>
      <c r="I21" s="1"/>
      <c r="J21" s="1"/>
      <c r="K21" s="1"/>
      <c r="L21" s="1"/>
    </row>
    <row r="22" spans="1:12" ht="25" customHeight="1">
      <c r="A22" s="1" t="s">
        <v>407</v>
      </c>
      <c r="B22" s="1">
        <f>政策金额数据!F17</f>
        <v>200</v>
      </c>
      <c r="C22" s="1">
        <f>政策金额数据!F19</f>
        <v>100</v>
      </c>
      <c r="D22" s="1">
        <f>政策金额数据!F20</f>
        <v>150</v>
      </c>
      <c r="E22" s="1">
        <f>政策金额数据!F21</f>
        <v>100</v>
      </c>
      <c r="F22" s="1">
        <f>MAX(B22:E22)</f>
        <v>200</v>
      </c>
      <c r="G22" s="1"/>
      <c r="H22" s="1"/>
      <c r="I22" s="1"/>
      <c r="J22" s="1"/>
      <c r="K22" s="1"/>
      <c r="L22" s="1"/>
    </row>
    <row r="23" spans="1:12" ht="25" customHeight="1">
      <c r="A23" s="1" t="s">
        <v>408</v>
      </c>
      <c r="B23" s="1">
        <f>政策金额数据!F25</f>
        <v>1000</v>
      </c>
      <c r="C23" s="1">
        <f>政策金额数据!F27</f>
        <v>600</v>
      </c>
      <c r="D23" s="1">
        <f>政策金额数据!F28</f>
        <v>1000</v>
      </c>
      <c r="E23" s="1">
        <f>政策金额数据!F29</f>
        <v>800</v>
      </c>
      <c r="F23" s="1">
        <f>MAX(B23:E23)</f>
        <v>1000</v>
      </c>
      <c r="G23" s="1"/>
      <c r="H23" s="1"/>
      <c r="I23" s="1"/>
      <c r="J23" s="1"/>
      <c r="K23" s="1"/>
      <c r="L23" s="1"/>
    </row>
    <row r="24" spans="1:12" ht="25" customHeight="1">
      <c r="A24" s="1" t="s">
        <v>409</v>
      </c>
      <c r="B24" s="1">
        <f>政策金额数据!F33</f>
        <v>60</v>
      </c>
      <c r="C24" s="1">
        <f>政策金额数据!F35</f>
        <v>100</v>
      </c>
      <c r="D24" s="1">
        <f>政策金额数据!F36</f>
        <v>150</v>
      </c>
      <c r="E24" s="1">
        <f>政策金额数据!F37</f>
        <v>100</v>
      </c>
      <c r="F24" s="1">
        <f>MAX(B24:E24)</f>
        <v>150</v>
      </c>
      <c r="G24" s="1"/>
      <c r="H24" s="1"/>
      <c r="I24" s="1"/>
      <c r="J24" s="1"/>
      <c r="K24" s="1"/>
      <c r="L24" s="1"/>
    </row>
    <row r="25" spans="1:12" ht="25" customHeight="1">
      <c r="A25" s="1"/>
      <c r="B25" s="1"/>
      <c r="C25" s="1"/>
      <c r="D25" s="1"/>
      <c r="E25" s="1"/>
      <c r="F25" s="1"/>
      <c r="G25" s="1"/>
      <c r="H25" s="1"/>
      <c r="I25" s="1"/>
      <c r="J25" s="1"/>
      <c r="K25" s="1"/>
      <c r="L25" s="1"/>
    </row>
    <row r="26" spans="1:12" ht="25" customHeight="1">
      <c r="A26" s="1"/>
      <c r="B26" s="1"/>
      <c r="C26" s="1"/>
      <c r="D26" s="1"/>
      <c r="E26" s="1"/>
      <c r="F26" s="1"/>
      <c r="G26" s="1"/>
      <c r="H26" s="1"/>
      <c r="I26" s="1"/>
      <c r="J26" s="1"/>
      <c r="K26" s="1"/>
      <c r="L26" s="1"/>
    </row>
    <row r="27" spans="1:12" ht="25" customHeight="1">
      <c r="A27" s="1" t="s">
        <v>410</v>
      </c>
      <c r="B27" s="1" t="s">
        <v>21</v>
      </c>
      <c r="C27" s="1" t="s">
        <v>31</v>
      </c>
      <c r="D27" s="1" t="s">
        <v>35</v>
      </c>
      <c r="E27" s="1" t="s">
        <v>39</v>
      </c>
      <c r="F27" s="1"/>
      <c r="G27" s="1"/>
      <c r="H27" s="1"/>
      <c r="I27" s="1"/>
      <c r="J27" s="1"/>
      <c r="K27" s="1"/>
      <c r="L27" s="1"/>
    </row>
    <row r="28" spans="1:12" ht="25" customHeight="1">
      <c r="A28" s="1" t="s">
        <v>406</v>
      </c>
      <c r="B28" s="12">
        <f t="shared" ref="B28:E31" si="0">B21/$F21</f>
        <v>1</v>
      </c>
      <c r="C28" s="12">
        <f t="shared" si="0"/>
        <v>0.75</v>
      </c>
      <c r="D28" s="12">
        <f t="shared" si="0"/>
        <v>0.75</v>
      </c>
      <c r="E28" s="12">
        <f t="shared" si="0"/>
        <v>0.25</v>
      </c>
      <c r="F28" s="1"/>
      <c r="G28" s="1"/>
      <c r="H28" s="1"/>
      <c r="I28" s="1"/>
      <c r="J28" s="1"/>
      <c r="K28" s="1"/>
      <c r="L28" s="1"/>
    </row>
    <row r="29" spans="1:12" ht="25" customHeight="1">
      <c r="A29" s="1" t="s">
        <v>407</v>
      </c>
      <c r="B29" s="12">
        <f t="shared" si="0"/>
        <v>1</v>
      </c>
      <c r="C29" s="12">
        <f t="shared" si="0"/>
        <v>0.5</v>
      </c>
      <c r="D29" s="12">
        <f t="shared" si="0"/>
        <v>0.75</v>
      </c>
      <c r="E29" s="12">
        <f t="shared" si="0"/>
        <v>0.5</v>
      </c>
      <c r="F29" s="1"/>
      <c r="G29" s="1"/>
      <c r="H29" s="1"/>
      <c r="I29" s="1"/>
      <c r="J29" s="1"/>
      <c r="K29" s="1"/>
      <c r="L29" s="1"/>
    </row>
    <row r="30" spans="1:12" ht="25" customHeight="1">
      <c r="A30" s="1" t="s">
        <v>408</v>
      </c>
      <c r="B30" s="12">
        <f t="shared" si="0"/>
        <v>1</v>
      </c>
      <c r="C30" s="12">
        <f t="shared" si="0"/>
        <v>0.6</v>
      </c>
      <c r="D30" s="12">
        <f t="shared" si="0"/>
        <v>1</v>
      </c>
      <c r="E30" s="12">
        <f t="shared" si="0"/>
        <v>0.8</v>
      </c>
      <c r="F30" s="1"/>
      <c r="G30" s="1"/>
      <c r="H30" s="1"/>
      <c r="I30" s="1"/>
      <c r="J30" s="1"/>
      <c r="K30" s="1"/>
      <c r="L30" s="1"/>
    </row>
    <row r="31" spans="1:12" ht="25" customHeight="1">
      <c r="A31" s="1" t="s">
        <v>409</v>
      </c>
      <c r="B31" s="12">
        <f t="shared" si="0"/>
        <v>0.4</v>
      </c>
      <c r="C31" s="12">
        <f t="shared" si="0"/>
        <v>0.66666666666666663</v>
      </c>
      <c r="D31" s="12">
        <f t="shared" si="0"/>
        <v>1</v>
      </c>
      <c r="E31" s="12">
        <f t="shared" si="0"/>
        <v>0.66666666666666663</v>
      </c>
      <c r="F31" s="1"/>
      <c r="G31" s="1"/>
      <c r="H31" s="1"/>
      <c r="I31" s="1"/>
      <c r="J31" s="1"/>
      <c r="K31" s="1"/>
      <c r="L31" s="1"/>
    </row>
    <row r="32" spans="1:12" ht="25" customHeight="1">
      <c r="A32" s="1"/>
      <c r="B32" s="1"/>
      <c r="C32" s="1"/>
      <c r="D32" s="1"/>
      <c r="E32" s="1"/>
      <c r="F32" s="1"/>
      <c r="G32" s="1"/>
      <c r="H32" s="1"/>
      <c r="I32" s="1"/>
      <c r="J32" s="1"/>
      <c r="K32" s="1"/>
      <c r="L32" s="1"/>
    </row>
    <row r="33" spans="1:12" ht="25" customHeight="1">
      <c r="A33" s="1"/>
      <c r="B33" s="1"/>
      <c r="C33" s="1"/>
      <c r="D33" s="1"/>
      <c r="E33" s="1"/>
      <c r="F33" s="1"/>
      <c r="G33" s="1"/>
      <c r="H33" s="1"/>
      <c r="I33" s="1"/>
      <c r="J33" s="1"/>
      <c r="K33" s="1"/>
      <c r="L33" s="1"/>
    </row>
    <row r="34" spans="1:12" ht="25" customHeight="1">
      <c r="A34" s="1"/>
      <c r="B34" s="1"/>
      <c r="C34" s="1"/>
      <c r="D34" s="1"/>
      <c r="E34" s="1"/>
      <c r="F34" s="1"/>
      <c r="G34" s="1"/>
      <c r="H34" s="1"/>
      <c r="I34" s="1"/>
      <c r="J34" s="1"/>
      <c r="K34" s="1"/>
      <c r="L34" s="1"/>
    </row>
    <row r="35" spans="1:12" ht="25" customHeight="1">
      <c r="A35" s="1"/>
      <c r="B35" s="1"/>
      <c r="C35" s="1"/>
      <c r="D35" s="1"/>
      <c r="E35" s="1"/>
      <c r="F35" s="1"/>
      <c r="G35" s="1"/>
      <c r="H35" s="1"/>
      <c r="I35" s="1"/>
      <c r="J35" s="1"/>
      <c r="K35" s="1"/>
      <c r="L35" s="1"/>
    </row>
    <row r="36" spans="1:12" ht="25" customHeight="1">
      <c r="A36" s="1"/>
      <c r="B36" s="1"/>
      <c r="C36" s="1"/>
      <c r="D36" s="1"/>
      <c r="E36" s="1"/>
      <c r="F36" s="1"/>
      <c r="G36" s="1"/>
      <c r="H36" s="1"/>
      <c r="I36" s="1"/>
      <c r="J36" s="1"/>
      <c r="K36" s="1"/>
      <c r="L36" s="1"/>
    </row>
    <row r="37" spans="1:12" ht="25" customHeight="1">
      <c r="A37" s="1"/>
      <c r="B37" s="1"/>
      <c r="C37" s="1"/>
      <c r="D37" s="1"/>
      <c r="E37" s="1"/>
      <c r="F37" s="1"/>
      <c r="G37" s="1"/>
      <c r="H37" s="1"/>
      <c r="I37" s="1"/>
      <c r="J37" s="1"/>
      <c r="K37" s="1"/>
      <c r="L37" s="1"/>
    </row>
    <row r="38" spans="1:12" ht="25" customHeight="1">
      <c r="A38" s="1"/>
      <c r="B38" s="1"/>
      <c r="C38" s="1"/>
      <c r="D38" s="1"/>
      <c r="E38" s="1"/>
      <c r="F38" s="1"/>
      <c r="G38" s="1"/>
      <c r="H38" s="1"/>
      <c r="I38" s="1"/>
      <c r="J38" s="1"/>
      <c r="K38" s="1"/>
      <c r="L38" s="1"/>
    </row>
    <row r="39" spans="1:12" ht="25" customHeight="1">
      <c r="A39" s="1"/>
      <c r="B39" s="1"/>
      <c r="C39" s="1"/>
      <c r="D39" s="1"/>
      <c r="E39" s="1"/>
      <c r="F39" s="1"/>
      <c r="G39" s="1"/>
      <c r="H39" s="1"/>
      <c r="I39" s="1"/>
      <c r="J39" s="1"/>
      <c r="K39" s="1"/>
      <c r="L39" s="1"/>
    </row>
    <row r="40" spans="1:12" ht="25" customHeight="1">
      <c r="A40" s="1"/>
      <c r="B40" s="1"/>
      <c r="C40" s="1"/>
      <c r="D40" s="1"/>
      <c r="E40" s="1"/>
      <c r="F40" s="1"/>
      <c r="G40" s="1"/>
      <c r="H40" s="1"/>
      <c r="I40" s="1"/>
      <c r="J40" s="1"/>
      <c r="K40" s="1"/>
      <c r="L40" s="1"/>
    </row>
    <row r="41" spans="1:12" ht="25" customHeight="1">
      <c r="A41" s="1"/>
      <c r="B41" s="1"/>
      <c r="C41" s="1"/>
      <c r="D41" s="1"/>
      <c r="E41" s="1"/>
      <c r="F41" s="1"/>
      <c r="G41" s="1"/>
      <c r="H41" s="1"/>
      <c r="I41" s="1"/>
      <c r="J41" s="1"/>
      <c r="K41" s="1"/>
      <c r="L41" s="1"/>
    </row>
    <row r="42" spans="1:12" ht="25" customHeight="1">
      <c r="A42" s="1"/>
      <c r="B42" s="1"/>
      <c r="C42" s="1"/>
      <c r="D42" s="1"/>
      <c r="E42" s="1"/>
      <c r="F42" s="1"/>
      <c r="G42" s="1"/>
      <c r="H42" s="1"/>
      <c r="I42" s="1"/>
      <c r="J42" s="1"/>
      <c r="K42" s="1"/>
      <c r="L42" s="1"/>
    </row>
    <row r="43" spans="1:12" ht="25" customHeight="1">
      <c r="A43" s="1"/>
      <c r="B43" s="1"/>
      <c r="C43" s="1"/>
      <c r="D43" s="1"/>
      <c r="E43" s="1"/>
      <c r="F43" s="1"/>
      <c r="G43" s="1"/>
      <c r="H43" s="1"/>
      <c r="I43" s="1"/>
      <c r="J43" s="1"/>
      <c r="K43" s="1"/>
      <c r="L43" s="1"/>
    </row>
    <row r="44" spans="1:12" ht="25" customHeight="1">
      <c r="A44" s="1"/>
      <c r="B44" s="1"/>
      <c r="C44" s="1"/>
      <c r="D44" s="1"/>
      <c r="E44" s="1"/>
      <c r="F44" s="1"/>
      <c r="G44" s="1"/>
      <c r="H44" s="1"/>
      <c r="I44" s="1"/>
      <c r="J44" s="1"/>
      <c r="K44" s="1"/>
      <c r="L44" s="1"/>
    </row>
    <row r="45" spans="1:12" ht="25" customHeight="1">
      <c r="A45" s="1"/>
      <c r="B45" s="1"/>
      <c r="C45" s="1"/>
      <c r="D45" s="1"/>
      <c r="E45" s="1"/>
      <c r="F45" s="1"/>
      <c r="G45" s="1"/>
      <c r="H45" s="1"/>
      <c r="I45" s="1"/>
      <c r="J45" s="1"/>
      <c r="K45" s="1"/>
      <c r="L45" s="1"/>
    </row>
    <row r="46" spans="1:12" ht="25" customHeight="1">
      <c r="A46" s="1"/>
      <c r="B46" s="1"/>
      <c r="C46" s="1"/>
      <c r="D46" s="1"/>
      <c r="E46" s="1"/>
      <c r="F46" s="1"/>
      <c r="G46" s="1"/>
      <c r="H46" s="1"/>
      <c r="I46" s="1"/>
      <c r="J46" s="1"/>
      <c r="K46" s="1"/>
      <c r="L46" s="1"/>
    </row>
    <row r="47" spans="1:12" ht="25" customHeight="1">
      <c r="A47" s="1"/>
      <c r="B47" s="1"/>
      <c r="C47" s="1"/>
      <c r="D47" s="1"/>
      <c r="E47" s="1"/>
      <c r="F47" s="1"/>
      <c r="G47" s="1"/>
      <c r="H47" s="1"/>
      <c r="I47" s="1"/>
      <c r="J47" s="1"/>
      <c r="K47" s="1"/>
      <c r="L47" s="1"/>
    </row>
    <row r="48" spans="1:12" ht="25" customHeight="1">
      <c r="A48" s="1"/>
      <c r="B48" s="1"/>
      <c r="C48" s="1"/>
      <c r="D48" s="1"/>
      <c r="E48" s="1"/>
      <c r="F48" s="1"/>
      <c r="G48" s="1"/>
      <c r="H48" s="1"/>
      <c r="I48" s="1"/>
      <c r="J48" s="1"/>
      <c r="K48" s="1"/>
      <c r="L48" s="1"/>
    </row>
    <row r="49" spans="1:12" ht="25" customHeight="1">
      <c r="A49" s="1"/>
      <c r="B49" s="1"/>
      <c r="C49" s="1"/>
      <c r="D49" s="1"/>
      <c r="E49" s="1"/>
      <c r="F49" s="1"/>
      <c r="G49" s="1"/>
      <c r="H49" s="1"/>
      <c r="I49" s="1"/>
      <c r="J49" s="1"/>
      <c r="K49" s="1"/>
      <c r="L49" s="1"/>
    </row>
    <row r="50" spans="1:12" ht="25" customHeight="1">
      <c r="A50" s="1"/>
      <c r="B50" s="1"/>
      <c r="C50" s="1"/>
      <c r="D50" s="1"/>
      <c r="E50" s="1"/>
      <c r="F50" s="1"/>
      <c r="G50" s="1"/>
      <c r="H50" s="1"/>
      <c r="I50" s="1"/>
      <c r="J50" s="1"/>
      <c r="K50" s="1"/>
      <c r="L50" s="1"/>
    </row>
    <row r="51" spans="1:12" ht="25" customHeight="1">
      <c r="A51" s="1"/>
      <c r="B51" s="1"/>
      <c r="C51" s="1"/>
      <c r="D51" s="1"/>
      <c r="E51" s="1"/>
      <c r="F51" s="1"/>
      <c r="G51" s="1"/>
      <c r="H51" s="1"/>
      <c r="I51" s="1"/>
      <c r="J51" s="1"/>
      <c r="K51" s="1"/>
      <c r="L51" s="1"/>
    </row>
    <row r="52" spans="1:12" ht="25" customHeight="1">
      <c r="A52" s="1"/>
      <c r="B52" s="1"/>
      <c r="C52" s="1"/>
      <c r="D52" s="1"/>
      <c r="E52" s="1"/>
      <c r="F52" s="1"/>
      <c r="G52" s="1"/>
      <c r="H52" s="1"/>
      <c r="I52" s="1"/>
      <c r="J52" s="1"/>
      <c r="K52" s="1"/>
      <c r="L52" s="1"/>
    </row>
    <row r="53" spans="1:12" ht="25" customHeight="1">
      <c r="A53" s="1"/>
      <c r="B53" s="1"/>
      <c r="C53" s="1"/>
      <c r="D53" s="1"/>
      <c r="E53" s="1"/>
      <c r="F53" s="1"/>
      <c r="G53" s="1"/>
      <c r="H53" s="1"/>
      <c r="I53" s="1"/>
      <c r="J53" s="1"/>
      <c r="K53" s="1"/>
      <c r="L53" s="1"/>
    </row>
    <row r="54" spans="1:12" ht="25" customHeight="1">
      <c r="A54" s="1" t="s">
        <v>411</v>
      </c>
      <c r="B54" s="1"/>
      <c r="C54" s="1"/>
      <c r="D54" s="1"/>
      <c r="E54" s="1"/>
      <c r="F54" s="1"/>
      <c r="G54" s="1"/>
      <c r="H54" s="1"/>
      <c r="I54" s="1"/>
      <c r="J54" s="1"/>
      <c r="K54" s="1"/>
      <c r="L54" s="1"/>
    </row>
    <row r="55" spans="1:12" ht="25" customHeight="1">
      <c r="A55" s="1"/>
      <c r="B55" s="1"/>
      <c r="C55" s="1"/>
      <c r="D55" s="1"/>
      <c r="E55" s="1"/>
      <c r="F55" s="1"/>
      <c r="G55" s="1"/>
      <c r="H55" s="1"/>
      <c r="I55" s="1"/>
      <c r="J55" s="1"/>
      <c r="K55" s="1"/>
      <c r="L55" s="1"/>
    </row>
    <row r="56" spans="1:12" ht="25" customHeight="1">
      <c r="A56" s="1" t="s">
        <v>2</v>
      </c>
      <c r="B56" s="1" t="s">
        <v>412</v>
      </c>
      <c r="C56" s="1"/>
      <c r="D56" s="1"/>
      <c r="E56" s="1"/>
      <c r="F56" s="1"/>
      <c r="G56" s="1"/>
      <c r="H56" s="1"/>
      <c r="I56" s="1"/>
      <c r="J56" s="1"/>
      <c r="K56" s="1"/>
      <c r="L56" s="1"/>
    </row>
    <row r="57" spans="1:12" ht="25" customHeight="1">
      <c r="A57" s="1" t="s">
        <v>161</v>
      </c>
      <c r="B57" s="1">
        <f>D6</f>
        <v>1000</v>
      </c>
      <c r="C57" s="1"/>
      <c r="D57" s="1"/>
      <c r="E57" s="1"/>
      <c r="F57" s="1"/>
      <c r="G57" s="1"/>
      <c r="H57" s="1"/>
      <c r="I57" s="1"/>
      <c r="J57" s="1"/>
      <c r="K57" s="1"/>
      <c r="L57" s="1"/>
    </row>
    <row r="58" spans="1:12" ht="25" customHeight="1">
      <c r="A58" s="1" t="s">
        <v>39</v>
      </c>
      <c r="B58" s="1">
        <f>D13</f>
        <v>1000</v>
      </c>
      <c r="C58" s="1"/>
      <c r="D58" s="1"/>
      <c r="E58" s="1"/>
      <c r="F58" s="1"/>
      <c r="G58" s="1"/>
      <c r="H58" s="1"/>
      <c r="I58" s="1"/>
      <c r="J58" s="1"/>
      <c r="K58" s="1"/>
      <c r="L58" s="1"/>
    </row>
    <row r="59" spans="1:12" ht="25" customHeight="1">
      <c r="A59" s="1" t="s">
        <v>21</v>
      </c>
      <c r="B59" s="1">
        <f>D9</f>
        <v>1500</v>
      </c>
      <c r="C59" s="1"/>
      <c r="D59" s="1"/>
      <c r="E59" s="1"/>
      <c r="F59" s="1"/>
      <c r="G59" s="1"/>
      <c r="H59" s="1"/>
      <c r="I59" s="1"/>
      <c r="J59" s="1"/>
      <c r="K59" s="1"/>
      <c r="L59" s="1"/>
    </row>
    <row r="60" spans="1:12" ht="25" customHeight="1">
      <c r="A60" s="1" t="s">
        <v>31</v>
      </c>
      <c r="B60" s="1">
        <f>D11</f>
        <v>2000</v>
      </c>
      <c r="C60" s="1"/>
      <c r="D60" s="1"/>
      <c r="E60" s="1"/>
      <c r="F60" s="1"/>
      <c r="G60" s="1"/>
      <c r="H60" s="1"/>
      <c r="I60" s="1"/>
      <c r="J60" s="1"/>
      <c r="K60" s="1"/>
      <c r="L60" s="1"/>
    </row>
    <row r="61" spans="1:12" ht="25" customHeight="1">
      <c r="A61" s="1" t="s">
        <v>163</v>
      </c>
      <c r="B61" s="1">
        <f>D10</f>
        <v>3000</v>
      </c>
      <c r="C61" s="1"/>
      <c r="D61" s="1"/>
      <c r="E61" s="1"/>
      <c r="F61" s="1"/>
      <c r="G61" s="1"/>
      <c r="H61" s="1"/>
      <c r="I61" s="1"/>
      <c r="J61" s="1"/>
      <c r="K61" s="1"/>
      <c r="L61" s="1"/>
    </row>
    <row r="62" spans="1:12" ht="25" customHeight="1">
      <c r="A62" s="1"/>
      <c r="B62" s="1"/>
      <c r="C62" s="1"/>
      <c r="D62" s="1"/>
      <c r="E62" s="1"/>
      <c r="F62" s="1"/>
      <c r="G62" s="1"/>
      <c r="H62" s="1"/>
      <c r="I62" s="1"/>
      <c r="J62" s="1"/>
      <c r="K62" s="1"/>
      <c r="L62" s="1"/>
    </row>
    <row r="63" spans="1:12" ht="25" customHeight="1">
      <c r="A63" s="1"/>
      <c r="B63" s="1"/>
      <c r="C63" s="1"/>
      <c r="D63" s="1"/>
      <c r="E63" s="1"/>
      <c r="F63" s="1"/>
      <c r="G63" s="1"/>
      <c r="H63" s="1"/>
      <c r="I63" s="1"/>
      <c r="J63" s="1"/>
      <c r="K63" s="1"/>
      <c r="L63" s="1"/>
    </row>
    <row r="64" spans="1:12" ht="25" customHeight="1">
      <c r="A64" s="1"/>
      <c r="B64" s="1"/>
      <c r="C64" s="1"/>
      <c r="D64" s="1"/>
      <c r="E64" s="1"/>
      <c r="F64" s="1"/>
      <c r="G64" s="1"/>
      <c r="H64" s="1"/>
      <c r="I64" s="1"/>
      <c r="J64" s="1"/>
      <c r="K64" s="1"/>
      <c r="L64" s="1"/>
    </row>
    <row r="65" spans="1:12" ht="25" customHeight="1">
      <c r="A65" s="1"/>
      <c r="B65" s="1"/>
      <c r="C65" s="1"/>
      <c r="D65" s="1"/>
      <c r="E65" s="1"/>
      <c r="F65" s="1"/>
      <c r="G65" s="1"/>
      <c r="H65" s="1"/>
      <c r="I65" s="1"/>
      <c r="J65" s="1"/>
      <c r="K65" s="1"/>
      <c r="L65" s="1"/>
    </row>
    <row r="66" spans="1:12" ht="25" customHeight="1">
      <c r="A66" s="1"/>
      <c r="B66" s="1"/>
      <c r="C66" s="1"/>
      <c r="D66" s="1"/>
      <c r="E66" s="1"/>
      <c r="F66" s="1"/>
      <c r="G66" s="1"/>
      <c r="H66" s="1"/>
      <c r="I66" s="1"/>
      <c r="J66" s="1"/>
      <c r="K66" s="1"/>
      <c r="L66" s="1"/>
    </row>
    <row r="67" spans="1:12" ht="25" customHeight="1">
      <c r="A67" s="1"/>
      <c r="B67" s="1"/>
      <c r="C67" s="1"/>
      <c r="D67" s="1"/>
      <c r="E67" s="1"/>
      <c r="F67" s="1"/>
      <c r="G67" s="1"/>
      <c r="H67" s="1"/>
      <c r="I67" s="1"/>
      <c r="J67" s="1"/>
      <c r="K67" s="1"/>
      <c r="L67" s="1"/>
    </row>
    <row r="68" spans="1:12" ht="25" customHeight="1">
      <c r="A68" s="1"/>
      <c r="B68" s="1"/>
      <c r="C68" s="1"/>
      <c r="D68" s="1"/>
      <c r="E68" s="1"/>
      <c r="F68" s="1"/>
      <c r="G68" s="1"/>
      <c r="H68" s="1"/>
      <c r="I68" s="1"/>
      <c r="J68" s="1"/>
      <c r="K68" s="1"/>
      <c r="L68" s="1"/>
    </row>
    <row r="69" spans="1:12" ht="25" customHeight="1">
      <c r="A69" s="1"/>
      <c r="B69" s="1"/>
      <c r="C69" s="1"/>
      <c r="D69" s="1"/>
      <c r="E69" s="1"/>
      <c r="F69" s="1"/>
      <c r="G69" s="1"/>
      <c r="H69" s="1"/>
      <c r="I69" s="1"/>
      <c r="J69" s="1"/>
      <c r="K69" s="1"/>
      <c r="L69" s="1"/>
    </row>
    <row r="70" spans="1:12" ht="25" customHeight="1">
      <c r="A70" s="1"/>
      <c r="B70" s="1"/>
      <c r="C70" s="1"/>
      <c r="D70" s="1"/>
      <c r="E70" s="1"/>
      <c r="F70" s="1"/>
      <c r="G70" s="1"/>
      <c r="H70" s="1"/>
      <c r="I70" s="1"/>
      <c r="J70" s="1"/>
      <c r="K70" s="1"/>
      <c r="L70" s="1"/>
    </row>
    <row r="71" spans="1:12" ht="25" customHeight="1">
      <c r="A71" s="1"/>
      <c r="B71" s="1"/>
      <c r="C71" s="1"/>
      <c r="D71" s="1"/>
      <c r="E71" s="1"/>
      <c r="F71" s="1"/>
      <c r="G71" s="1"/>
      <c r="H71" s="1"/>
      <c r="I71" s="1"/>
      <c r="J71" s="1"/>
      <c r="K71" s="1"/>
      <c r="L71" s="1"/>
    </row>
    <row r="72" spans="1:12" ht="25" customHeight="1">
      <c r="A72" s="1"/>
      <c r="B72" s="1"/>
      <c r="C72" s="1"/>
      <c r="D72" s="1"/>
      <c r="E72" s="1"/>
      <c r="F72" s="1"/>
      <c r="G72" s="1"/>
      <c r="H72" s="1"/>
      <c r="I72" s="1"/>
      <c r="J72" s="1"/>
      <c r="K72" s="1"/>
      <c r="L72" s="1"/>
    </row>
    <row r="73" spans="1:12" ht="25" customHeight="1">
      <c r="A73" s="1"/>
      <c r="B73" s="1"/>
      <c r="C73" s="1"/>
      <c r="D73" s="1"/>
      <c r="E73" s="1"/>
      <c r="F73" s="1"/>
      <c r="G73" s="1"/>
      <c r="H73" s="1"/>
      <c r="I73" s="1"/>
      <c r="J73" s="1"/>
      <c r="K73" s="1"/>
      <c r="L73" s="1"/>
    </row>
    <row r="74" spans="1:12" ht="25" customHeight="1">
      <c r="A74" s="1"/>
      <c r="B74" s="1"/>
      <c r="C74" s="1"/>
      <c r="D74" s="1"/>
      <c r="E74" s="1"/>
      <c r="F74" s="1"/>
      <c r="G74" s="1"/>
      <c r="H74" s="1"/>
      <c r="I74" s="1"/>
      <c r="J74" s="1"/>
      <c r="K74" s="1"/>
      <c r="L74" s="1"/>
    </row>
    <row r="75" spans="1:12" ht="25" customHeight="1">
      <c r="A75" s="1"/>
      <c r="B75" s="1"/>
      <c r="C75" s="1"/>
      <c r="D75" s="1"/>
      <c r="E75" s="1"/>
      <c r="F75" s="1"/>
      <c r="G75" s="1"/>
      <c r="H75" s="1"/>
      <c r="I75" s="1"/>
      <c r="J75" s="1"/>
      <c r="K75" s="1"/>
      <c r="L75" s="1"/>
    </row>
    <row r="76" spans="1:12" ht="25" customHeight="1">
      <c r="A76" s="1"/>
      <c r="B76" s="1"/>
      <c r="C76" s="1"/>
      <c r="D76" s="1"/>
      <c r="E76" s="1"/>
      <c r="F76" s="1"/>
      <c r="G76" s="1"/>
      <c r="H76" s="1"/>
      <c r="I76" s="1"/>
      <c r="J76" s="1"/>
      <c r="K76" s="1"/>
      <c r="L76" s="1"/>
    </row>
    <row r="77" spans="1:12" ht="25" customHeight="1">
      <c r="A77" s="1"/>
      <c r="B77" s="1"/>
      <c r="C77" s="1"/>
      <c r="D77" s="1"/>
      <c r="E77" s="1"/>
      <c r="F77" s="1"/>
      <c r="G77" s="1"/>
      <c r="H77" s="1"/>
      <c r="I77" s="1"/>
      <c r="J77" s="1"/>
      <c r="K77" s="1"/>
      <c r="L77" s="1"/>
    </row>
    <row r="78" spans="1:12" ht="25" customHeight="1">
      <c r="A78" s="1"/>
      <c r="B78" s="1"/>
      <c r="C78" s="1"/>
      <c r="D78" s="1"/>
      <c r="E78" s="1"/>
      <c r="F78" s="1"/>
      <c r="G78" s="1"/>
      <c r="H78" s="1"/>
      <c r="I78" s="1"/>
      <c r="J78" s="1"/>
      <c r="K78" s="1"/>
      <c r="L78" s="1"/>
    </row>
    <row r="79" spans="1:12" ht="25" customHeight="1">
      <c r="A79" s="1"/>
      <c r="B79" s="1"/>
      <c r="C79" s="1"/>
      <c r="D79" s="1"/>
      <c r="E79" s="1"/>
      <c r="F79" s="1"/>
      <c r="G79" s="1"/>
      <c r="H79" s="1"/>
      <c r="I79" s="1"/>
      <c r="J79" s="1"/>
      <c r="K79" s="1"/>
      <c r="L79" s="1"/>
    </row>
    <row r="80" spans="1:12" ht="25" customHeight="1">
      <c r="A80" s="1"/>
      <c r="B80" s="1"/>
      <c r="C80" s="1"/>
      <c r="D80" s="1"/>
      <c r="E80" s="1"/>
      <c r="F80" s="1"/>
      <c r="G80" s="1"/>
      <c r="H80" s="1"/>
      <c r="I80" s="1"/>
      <c r="J80" s="1"/>
      <c r="K80" s="1"/>
      <c r="L80" s="1"/>
    </row>
    <row r="81" spans="1:12" ht="25" customHeight="1">
      <c r="A81" s="1"/>
      <c r="B81" s="1"/>
      <c r="C81" s="1"/>
      <c r="D81" s="1"/>
      <c r="E81" s="1"/>
      <c r="F81" s="1"/>
      <c r="G81" s="1"/>
      <c r="H81" s="1"/>
      <c r="I81" s="1"/>
      <c r="J81" s="1"/>
      <c r="K81" s="1"/>
      <c r="L81" s="1"/>
    </row>
    <row r="82" spans="1:12" ht="25" customHeight="1">
      <c r="A82" s="1"/>
      <c r="B82" s="1"/>
      <c r="C82" s="1"/>
      <c r="D82" s="1"/>
      <c r="E82" s="1"/>
      <c r="F82" s="1"/>
      <c r="G82" s="1"/>
      <c r="H82" s="1"/>
      <c r="I82" s="1"/>
      <c r="J82" s="1"/>
      <c r="K82" s="1"/>
      <c r="L82" s="1"/>
    </row>
    <row r="83" spans="1:12" ht="25" customHeight="1">
      <c r="A83" s="1" t="s">
        <v>413</v>
      </c>
      <c r="B83" s="1"/>
      <c r="C83" s="1"/>
      <c r="D83" s="1"/>
      <c r="E83" s="1"/>
      <c r="F83" s="1"/>
      <c r="G83" s="1"/>
      <c r="H83" s="1"/>
      <c r="I83" s="1"/>
      <c r="J83" s="1"/>
      <c r="K83" s="1"/>
      <c r="L83" s="1"/>
    </row>
    <row r="84" spans="1:12" ht="25" customHeight="1">
      <c r="A84" s="1"/>
      <c r="B84" s="1"/>
      <c r="C84" s="1"/>
      <c r="D84" s="1"/>
      <c r="E84" s="1"/>
      <c r="F84" s="1"/>
      <c r="G84" s="1"/>
      <c r="H84" s="1"/>
      <c r="I84" s="1"/>
      <c r="J84" s="1"/>
      <c r="K84" s="1"/>
      <c r="L84" s="1"/>
    </row>
    <row r="85" spans="1:12" ht="25" customHeight="1">
      <c r="A85" s="1" t="s">
        <v>414</v>
      </c>
      <c r="B85" s="1"/>
      <c r="C85" s="1"/>
      <c r="D85" s="1"/>
      <c r="E85" s="1"/>
      <c r="F85" s="1"/>
      <c r="G85" s="1"/>
      <c r="H85" s="1"/>
      <c r="I85" s="1"/>
      <c r="J85" s="1"/>
      <c r="K85" s="1"/>
      <c r="L85" s="1"/>
    </row>
    <row r="86" spans="1:12" ht="25" customHeight="1">
      <c r="A86" s="1"/>
      <c r="B86" s="1"/>
      <c r="C86" s="1"/>
      <c r="D86" s="1"/>
      <c r="E86" s="1"/>
      <c r="F86" s="1"/>
      <c r="G86" s="1"/>
      <c r="H86" s="1"/>
      <c r="I86" s="1"/>
      <c r="J86" s="1"/>
      <c r="K86" s="1"/>
      <c r="L86" s="1"/>
    </row>
    <row r="87" spans="1:12" ht="25" customHeight="1">
      <c r="A87" s="1" t="s">
        <v>415</v>
      </c>
      <c r="B87" s="1"/>
      <c r="C87" s="1"/>
      <c r="D87" s="1"/>
      <c r="E87" s="1"/>
      <c r="F87" s="1"/>
      <c r="G87" s="1"/>
      <c r="H87" s="1"/>
      <c r="I87" s="1"/>
      <c r="J87" s="1"/>
      <c r="K87" s="1"/>
      <c r="L87" s="1"/>
    </row>
    <row r="88" spans="1:12" ht="25" customHeight="1">
      <c r="A88" s="1"/>
      <c r="B88" s="1"/>
      <c r="C88" s="1"/>
      <c r="D88" s="1"/>
      <c r="E88" s="1"/>
      <c r="F88" s="1"/>
      <c r="G88" s="1"/>
      <c r="H88" s="1"/>
      <c r="I88" s="1"/>
      <c r="J88" s="1"/>
      <c r="K88" s="1"/>
      <c r="L88" s="1"/>
    </row>
    <row r="89" spans="1:12" ht="25" customHeight="1">
      <c r="A89" s="1"/>
      <c r="B89" s="1"/>
      <c r="C89" s="1"/>
      <c r="D89" s="1"/>
      <c r="E89" s="1"/>
      <c r="F89" s="1"/>
      <c r="G89" s="1"/>
      <c r="H89" s="1"/>
      <c r="I89" s="1"/>
      <c r="J89" s="1"/>
      <c r="K89" s="1"/>
      <c r="L89" s="1"/>
    </row>
    <row r="90" spans="1:12" ht="25" customHeight="1">
      <c r="A90" s="1"/>
      <c r="B90" s="1"/>
      <c r="C90" s="1"/>
      <c r="D90" s="1"/>
      <c r="E90" s="1"/>
      <c r="F90" s="1"/>
      <c r="G90" s="1"/>
      <c r="H90" s="1"/>
      <c r="I90" s="1"/>
      <c r="J90" s="1"/>
      <c r="K90" s="1"/>
      <c r="L90" s="1"/>
    </row>
    <row r="91" spans="1:12" ht="25" customHeight="1">
      <c r="A91" s="1"/>
      <c r="B91" s="1"/>
      <c r="C91" s="1"/>
      <c r="D91" s="1"/>
      <c r="E91" s="1"/>
      <c r="F91" s="1"/>
      <c r="G91" s="1"/>
      <c r="H91" s="1"/>
      <c r="I91" s="1"/>
      <c r="J91" s="1"/>
      <c r="K91" s="1"/>
      <c r="L91" s="1"/>
    </row>
    <row r="92" spans="1:12" ht="25" customHeight="1">
      <c r="A92" s="1"/>
      <c r="B92" s="1"/>
      <c r="C92" s="1"/>
      <c r="D92" s="1"/>
      <c r="E92" s="1"/>
      <c r="F92" s="1"/>
      <c r="G92" s="1"/>
      <c r="H92" s="1"/>
      <c r="I92" s="1"/>
      <c r="J92" s="1"/>
      <c r="K92" s="1"/>
      <c r="L92" s="1"/>
    </row>
    <row r="93" spans="1:12" ht="25" customHeight="1">
      <c r="A93" s="1"/>
      <c r="B93" s="1"/>
      <c r="C93" s="1"/>
      <c r="D93" s="1"/>
      <c r="E93" s="1"/>
      <c r="F93" s="1"/>
      <c r="G93" s="1"/>
      <c r="H93" s="1"/>
      <c r="I93" s="1"/>
      <c r="J93" s="1"/>
      <c r="K93" s="1"/>
      <c r="L93" s="1"/>
    </row>
    <row r="94" spans="1:12" ht="25" customHeight="1">
      <c r="A94" s="1"/>
      <c r="B94" s="1"/>
      <c r="C94" s="1"/>
      <c r="D94" s="1"/>
      <c r="E94" s="1"/>
      <c r="F94" s="1"/>
      <c r="G94" s="1"/>
      <c r="H94" s="1"/>
      <c r="I94" s="1"/>
      <c r="J94" s="1"/>
      <c r="K94" s="1"/>
      <c r="L94" s="1"/>
    </row>
    <row r="95" spans="1:12" ht="25" customHeight="1">
      <c r="A95" s="1"/>
      <c r="B95" s="1"/>
      <c r="C95" s="1"/>
      <c r="D95" s="1"/>
      <c r="E95" s="1"/>
      <c r="F95" s="1"/>
      <c r="G95" s="1"/>
      <c r="H95" s="1"/>
      <c r="I95" s="1"/>
      <c r="J95" s="1"/>
      <c r="K95" s="1"/>
      <c r="L95" s="1"/>
    </row>
    <row r="96" spans="1:12" ht="25" customHeight="1">
      <c r="A96" s="1"/>
      <c r="B96" s="1"/>
      <c r="C96" s="1"/>
      <c r="D96" s="1"/>
      <c r="E96" s="1"/>
      <c r="F96" s="1"/>
      <c r="G96" s="1"/>
      <c r="H96" s="1"/>
      <c r="I96" s="1"/>
      <c r="J96" s="1"/>
      <c r="K96" s="1"/>
      <c r="L96" s="1"/>
    </row>
    <row r="97" spans="1:12" ht="25" customHeight="1">
      <c r="A97" s="1"/>
      <c r="B97" s="1"/>
      <c r="C97" s="1"/>
      <c r="D97" s="1"/>
      <c r="E97" s="1"/>
      <c r="F97" s="1"/>
      <c r="G97" s="1"/>
      <c r="H97" s="1"/>
      <c r="I97" s="1"/>
      <c r="J97" s="1"/>
      <c r="K97" s="1"/>
      <c r="L97" s="1"/>
    </row>
  </sheetData>
  <phoneticPr fontId="9" type="noConversion"/>
  <pageMargins left="0.7" right="0.7" top="0.75" bottom="0.75" header="0.511811023622047" footer="0.511811023622047"/>
  <pageSetup paperSize="9" orientation="portrait" horizontalDpi="300" verticalDpi="300"/>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0"/>
  <sheetViews>
    <sheetView showGridLines="0" zoomScaleNormal="100" workbookViewId="0">
      <pane ySplit="5" topLeftCell="A6" activePane="bottomLeft" state="frozen"/>
      <selection pane="bottomLeft"/>
    </sheetView>
  </sheetViews>
  <sheetFormatPr defaultColWidth="8.6328125" defaultRowHeight="12.5"/>
  <cols>
    <col min="1" max="1" width="23" customWidth="1"/>
    <col min="2" max="2" width="12" customWidth="1"/>
    <col min="3" max="3" width="26" customWidth="1"/>
    <col min="4" max="4" width="23" customWidth="1"/>
    <col min="5" max="6" width="18" customWidth="1"/>
    <col min="7" max="7" width="17" customWidth="1"/>
    <col min="8" max="8" width="30" customWidth="1"/>
    <col min="9" max="9" width="45" customWidth="1"/>
    <col min="10" max="10" width="47" customWidth="1"/>
    <col min="11" max="11" width="77" customWidth="1"/>
    <col min="12" max="12" width="20" customWidth="1"/>
    <col min="13" max="13" width="16" customWidth="1"/>
  </cols>
  <sheetData>
    <row r="1" spans="1:13" ht="25" customHeight="1">
      <c r="A1" s="1"/>
      <c r="B1" s="1"/>
      <c r="C1" s="1"/>
      <c r="D1" s="1"/>
      <c r="E1" s="1"/>
      <c r="F1" s="1"/>
      <c r="G1" s="1"/>
      <c r="H1" s="1"/>
      <c r="I1" s="1"/>
      <c r="J1" s="1"/>
      <c r="K1" s="1"/>
      <c r="L1" s="1"/>
      <c r="M1" s="1"/>
    </row>
    <row r="2" spans="1:13" ht="25" customHeight="1">
      <c r="A2" s="2" t="s">
        <v>416</v>
      </c>
      <c r="B2" s="1"/>
      <c r="C2" s="1"/>
      <c r="D2" s="1"/>
      <c r="E2" s="1"/>
      <c r="F2" s="1"/>
      <c r="G2" s="1"/>
      <c r="H2" s="1"/>
      <c r="I2" s="1"/>
      <c r="J2" s="1"/>
      <c r="K2" s="1"/>
      <c r="L2" s="1"/>
      <c r="M2" s="1"/>
    </row>
    <row r="3" spans="1:13" ht="25" customHeight="1">
      <c r="A3" s="3" t="s">
        <v>417</v>
      </c>
      <c r="B3" s="1"/>
      <c r="C3" s="1"/>
      <c r="D3" s="1"/>
      <c r="E3" s="1"/>
      <c r="F3" s="1"/>
      <c r="G3" s="1"/>
      <c r="H3" s="1"/>
      <c r="I3" s="1"/>
      <c r="J3" s="1"/>
      <c r="K3" s="1"/>
      <c r="L3" s="1"/>
      <c r="M3" s="1"/>
    </row>
    <row r="4" spans="1:13" ht="25" customHeight="1">
      <c r="A4" s="1"/>
      <c r="B4" s="1"/>
      <c r="C4" s="1"/>
      <c r="D4" s="1"/>
      <c r="E4" s="1"/>
      <c r="F4" s="1"/>
      <c r="G4" s="1"/>
      <c r="H4" s="1"/>
      <c r="I4" s="1"/>
      <c r="J4" s="1"/>
      <c r="K4" s="1"/>
      <c r="L4" s="1"/>
      <c r="M4" s="1"/>
    </row>
    <row r="5" spans="1:13" ht="40" customHeight="1">
      <c r="A5" s="4" t="s">
        <v>2</v>
      </c>
      <c r="B5" s="4" t="s">
        <v>418</v>
      </c>
      <c r="C5" s="4" t="s">
        <v>419</v>
      </c>
      <c r="D5" s="4" t="s">
        <v>420</v>
      </c>
      <c r="E5" s="4" t="s">
        <v>421</v>
      </c>
      <c r="F5" s="4" t="s">
        <v>422</v>
      </c>
      <c r="G5" s="4" t="s">
        <v>423</v>
      </c>
      <c r="H5" s="4" t="s">
        <v>424</v>
      </c>
      <c r="I5" s="4" t="s">
        <v>425</v>
      </c>
      <c r="J5" s="4" t="s">
        <v>426</v>
      </c>
      <c r="K5" s="4" t="s">
        <v>427</v>
      </c>
      <c r="L5" s="4" t="s">
        <v>428</v>
      </c>
      <c r="M5" s="1"/>
    </row>
    <row r="6" spans="1:13" ht="70" customHeight="1">
      <c r="A6" s="5" t="s">
        <v>7</v>
      </c>
      <c r="B6" s="5">
        <v>2023</v>
      </c>
      <c r="C6" s="5" t="s">
        <v>429</v>
      </c>
      <c r="D6" s="5" t="s">
        <v>430</v>
      </c>
      <c r="E6" s="5">
        <v>103</v>
      </c>
      <c r="F6" s="5"/>
      <c r="G6" s="5" t="s">
        <v>180</v>
      </c>
      <c r="H6" s="5" t="s">
        <v>431</v>
      </c>
      <c r="I6" s="5" t="s">
        <v>432</v>
      </c>
      <c r="J6" s="5" t="s">
        <v>433</v>
      </c>
      <c r="K6" s="5" t="s">
        <v>434</v>
      </c>
      <c r="L6" s="13" t="str">
        <f t="shared" ref="L6:L30" si="0">IF(AND(ISNUMBER(E6),ISNUMBER(F6)),E6/F6,"")</f>
        <v/>
      </c>
      <c r="M6" s="1"/>
    </row>
    <row r="7" spans="1:13" ht="70" customHeight="1">
      <c r="A7" s="6" t="s">
        <v>7</v>
      </c>
      <c r="B7" s="6">
        <v>2022</v>
      </c>
      <c r="C7" s="6" t="s">
        <v>429</v>
      </c>
      <c r="D7" s="6" t="s">
        <v>435</v>
      </c>
      <c r="E7" s="6">
        <v>83</v>
      </c>
      <c r="F7" s="6"/>
      <c r="G7" s="6" t="s">
        <v>180</v>
      </c>
      <c r="H7" s="6" t="s">
        <v>431</v>
      </c>
      <c r="I7" s="6" t="s">
        <v>436</v>
      </c>
      <c r="J7" s="6" t="s">
        <v>433</v>
      </c>
      <c r="K7" s="6" t="s">
        <v>437</v>
      </c>
      <c r="L7" s="14" t="str">
        <f t="shared" si="0"/>
        <v/>
      </c>
      <c r="M7" s="1"/>
    </row>
    <row r="8" spans="1:13" ht="70" customHeight="1">
      <c r="A8" s="5" t="s">
        <v>7</v>
      </c>
      <c r="B8" s="5">
        <v>2024</v>
      </c>
      <c r="C8" s="5" t="s">
        <v>429</v>
      </c>
      <c r="D8" s="5" t="s">
        <v>438</v>
      </c>
      <c r="E8" s="5">
        <v>100</v>
      </c>
      <c r="F8" s="5"/>
      <c r="G8" s="5" t="s">
        <v>180</v>
      </c>
      <c r="H8" s="5" t="s">
        <v>431</v>
      </c>
      <c r="I8" s="5" t="s">
        <v>439</v>
      </c>
      <c r="J8" s="5" t="s">
        <v>440</v>
      </c>
      <c r="K8" s="5" t="s">
        <v>441</v>
      </c>
      <c r="L8" s="13" t="str">
        <f t="shared" si="0"/>
        <v/>
      </c>
      <c r="M8" s="1"/>
    </row>
    <row r="9" spans="1:13" ht="70" customHeight="1">
      <c r="A9" s="6" t="s">
        <v>7</v>
      </c>
      <c r="B9" s="6">
        <v>2025</v>
      </c>
      <c r="C9" s="6" t="s">
        <v>442</v>
      </c>
      <c r="D9" s="6" t="s">
        <v>443</v>
      </c>
      <c r="E9" s="6">
        <v>47</v>
      </c>
      <c r="F9" s="6">
        <v>77</v>
      </c>
      <c r="G9" s="6" t="s">
        <v>180</v>
      </c>
      <c r="H9" s="6" t="s">
        <v>431</v>
      </c>
      <c r="I9" s="6" t="s">
        <v>444</v>
      </c>
      <c r="J9" s="6" t="s">
        <v>445</v>
      </c>
      <c r="K9" s="6" t="s">
        <v>446</v>
      </c>
      <c r="L9" s="14">
        <f t="shared" si="0"/>
        <v>0.61038961038961037</v>
      </c>
      <c r="M9" s="1"/>
    </row>
    <row r="10" spans="1:13" ht="70" customHeight="1">
      <c r="A10" s="5" t="s">
        <v>12</v>
      </c>
      <c r="B10" s="5">
        <v>2023</v>
      </c>
      <c r="C10" s="5" t="s">
        <v>447</v>
      </c>
      <c r="D10" s="5" t="s">
        <v>448</v>
      </c>
      <c r="E10" s="5">
        <v>12</v>
      </c>
      <c r="F10" s="5"/>
      <c r="G10" s="5" t="s">
        <v>180</v>
      </c>
      <c r="H10" s="5" t="s">
        <v>449</v>
      </c>
      <c r="I10" s="5" t="s">
        <v>450</v>
      </c>
      <c r="J10" s="5" t="s">
        <v>451</v>
      </c>
      <c r="K10" s="5" t="s">
        <v>452</v>
      </c>
      <c r="L10" s="13" t="str">
        <f t="shared" si="0"/>
        <v/>
      </c>
      <c r="M10" s="1"/>
    </row>
    <row r="11" spans="1:13" ht="70" customHeight="1">
      <c r="A11" s="6" t="s">
        <v>12</v>
      </c>
      <c r="B11" s="6">
        <v>2024</v>
      </c>
      <c r="C11" s="6" t="s">
        <v>447</v>
      </c>
      <c r="D11" s="6" t="s">
        <v>448</v>
      </c>
      <c r="E11" s="6">
        <v>10</v>
      </c>
      <c r="F11" s="6"/>
      <c r="G11" s="6" t="s">
        <v>180</v>
      </c>
      <c r="H11" s="6" t="s">
        <v>449</v>
      </c>
      <c r="I11" s="6" t="s">
        <v>450</v>
      </c>
      <c r="J11" s="6" t="s">
        <v>451</v>
      </c>
      <c r="K11" s="6" t="s">
        <v>452</v>
      </c>
      <c r="L11" s="14" t="str">
        <f t="shared" si="0"/>
        <v/>
      </c>
      <c r="M11" s="1"/>
    </row>
    <row r="12" spans="1:13" ht="70" customHeight="1">
      <c r="A12" s="5" t="s">
        <v>12</v>
      </c>
      <c r="B12" s="5">
        <v>2025</v>
      </c>
      <c r="C12" s="5" t="s">
        <v>453</v>
      </c>
      <c r="D12" s="5" t="s">
        <v>448</v>
      </c>
      <c r="E12" s="5">
        <v>20</v>
      </c>
      <c r="F12" s="5"/>
      <c r="G12" s="5" t="s">
        <v>180</v>
      </c>
      <c r="H12" s="5" t="s">
        <v>449</v>
      </c>
      <c r="I12" s="5" t="s">
        <v>454</v>
      </c>
      <c r="J12" s="5" t="s">
        <v>451</v>
      </c>
      <c r="K12" s="5" t="s">
        <v>455</v>
      </c>
      <c r="L12" s="13" t="str">
        <f t="shared" si="0"/>
        <v/>
      </c>
      <c r="M12" s="1"/>
    </row>
    <row r="13" spans="1:13" ht="70" customHeight="1">
      <c r="A13" s="6" t="s">
        <v>16</v>
      </c>
      <c r="B13" s="6">
        <v>2025</v>
      </c>
      <c r="C13" s="6" t="s">
        <v>442</v>
      </c>
      <c r="D13" s="6" t="s">
        <v>443</v>
      </c>
      <c r="E13" s="6">
        <v>86</v>
      </c>
      <c r="F13" s="6"/>
      <c r="G13" s="6" t="s">
        <v>180</v>
      </c>
      <c r="H13" s="6" t="s">
        <v>456</v>
      </c>
      <c r="I13" s="6" t="s">
        <v>457</v>
      </c>
      <c r="J13" s="6" t="s">
        <v>458</v>
      </c>
      <c r="K13" s="6" t="s">
        <v>459</v>
      </c>
      <c r="L13" s="14" t="str">
        <f t="shared" si="0"/>
        <v/>
      </c>
      <c r="M13" s="1"/>
    </row>
    <row r="14" spans="1:13" ht="70" customHeight="1">
      <c r="A14" s="5" t="s">
        <v>16</v>
      </c>
      <c r="B14" s="5">
        <v>2024</v>
      </c>
      <c r="C14" s="5" t="s">
        <v>460</v>
      </c>
      <c r="D14" s="5" t="s">
        <v>461</v>
      </c>
      <c r="E14" s="5">
        <v>1</v>
      </c>
      <c r="F14" s="5">
        <v>6</v>
      </c>
      <c r="G14" s="5" t="s">
        <v>180</v>
      </c>
      <c r="H14" s="5" t="s">
        <v>462</v>
      </c>
      <c r="I14" s="5" t="s">
        <v>463</v>
      </c>
      <c r="J14" s="5" t="s">
        <v>464</v>
      </c>
      <c r="K14" s="5" t="s">
        <v>465</v>
      </c>
      <c r="L14" s="13">
        <f t="shared" si="0"/>
        <v>0.16666666666666666</v>
      </c>
      <c r="M14" s="1"/>
    </row>
    <row r="15" spans="1:13" ht="70" customHeight="1">
      <c r="A15" s="6" t="s">
        <v>16</v>
      </c>
      <c r="B15" s="6">
        <v>2024</v>
      </c>
      <c r="C15" s="6" t="s">
        <v>466</v>
      </c>
      <c r="D15" s="6" t="s">
        <v>461</v>
      </c>
      <c r="E15" s="6">
        <v>46</v>
      </c>
      <c r="F15" s="6"/>
      <c r="G15" s="6" t="s">
        <v>180</v>
      </c>
      <c r="H15" s="6" t="s">
        <v>467</v>
      </c>
      <c r="I15" s="6" t="s">
        <v>468</v>
      </c>
      <c r="J15" s="6" t="s">
        <v>469</v>
      </c>
      <c r="K15" s="6" t="s">
        <v>470</v>
      </c>
      <c r="L15" s="14" t="str">
        <f t="shared" si="0"/>
        <v/>
      </c>
      <c r="M15" s="1"/>
    </row>
    <row r="16" spans="1:13" ht="70" customHeight="1">
      <c r="A16" s="5" t="s">
        <v>21</v>
      </c>
      <c r="B16" s="5">
        <v>2023</v>
      </c>
      <c r="C16" s="5" t="s">
        <v>429</v>
      </c>
      <c r="D16" s="5" t="s">
        <v>471</v>
      </c>
      <c r="E16" s="5">
        <v>128</v>
      </c>
      <c r="F16" s="5"/>
      <c r="G16" s="5" t="s">
        <v>472</v>
      </c>
      <c r="H16" s="5" t="s">
        <v>473</v>
      </c>
      <c r="I16" s="5" t="s">
        <v>474</v>
      </c>
      <c r="J16" s="5" t="s">
        <v>475</v>
      </c>
      <c r="K16" s="5" t="s">
        <v>476</v>
      </c>
      <c r="L16" s="13" t="str">
        <f t="shared" si="0"/>
        <v/>
      </c>
      <c r="M16" s="1"/>
    </row>
    <row r="17" spans="1:13" ht="70" customHeight="1">
      <c r="A17" s="6" t="s">
        <v>21</v>
      </c>
      <c r="B17" s="6">
        <v>2024</v>
      </c>
      <c r="C17" s="6" t="s">
        <v>429</v>
      </c>
      <c r="D17" s="6" t="s">
        <v>477</v>
      </c>
      <c r="E17" s="6">
        <v>250</v>
      </c>
      <c r="F17" s="6"/>
      <c r="G17" s="6" t="s">
        <v>478</v>
      </c>
      <c r="H17" s="6" t="s">
        <v>479</v>
      </c>
      <c r="I17" s="6" t="s">
        <v>474</v>
      </c>
      <c r="J17" s="6" t="s">
        <v>480</v>
      </c>
      <c r="K17" s="6" t="s">
        <v>481</v>
      </c>
      <c r="L17" s="14" t="str">
        <f t="shared" si="0"/>
        <v/>
      </c>
      <c r="M17" s="1"/>
    </row>
    <row r="18" spans="1:13" ht="70" customHeight="1">
      <c r="A18" s="5" t="s">
        <v>21</v>
      </c>
      <c r="B18" s="5">
        <v>2025</v>
      </c>
      <c r="C18" s="5" t="s">
        <v>429</v>
      </c>
      <c r="D18" s="5" t="s">
        <v>477</v>
      </c>
      <c r="E18" s="5">
        <v>180</v>
      </c>
      <c r="F18" s="5"/>
      <c r="G18" s="5" t="s">
        <v>478</v>
      </c>
      <c r="H18" s="5" t="s">
        <v>479</v>
      </c>
      <c r="I18" s="5" t="s">
        <v>474</v>
      </c>
      <c r="J18" s="5" t="s">
        <v>482</v>
      </c>
      <c r="K18" s="5" t="s">
        <v>483</v>
      </c>
      <c r="L18" s="13" t="str">
        <f t="shared" si="0"/>
        <v/>
      </c>
      <c r="M18" s="1"/>
    </row>
    <row r="19" spans="1:13" ht="70" customHeight="1">
      <c r="A19" s="6" t="s">
        <v>21</v>
      </c>
      <c r="B19" s="6">
        <v>2024</v>
      </c>
      <c r="C19" s="6" t="s">
        <v>442</v>
      </c>
      <c r="D19" s="6" t="s">
        <v>484</v>
      </c>
      <c r="E19" s="6">
        <v>71</v>
      </c>
      <c r="F19" s="6"/>
      <c r="G19" s="6" t="s">
        <v>180</v>
      </c>
      <c r="H19" s="6" t="s">
        <v>473</v>
      </c>
      <c r="I19" s="6" t="s">
        <v>485</v>
      </c>
      <c r="J19" s="6" t="s">
        <v>486</v>
      </c>
      <c r="K19" s="6" t="s">
        <v>487</v>
      </c>
      <c r="L19" s="14" t="str">
        <f t="shared" si="0"/>
        <v/>
      </c>
      <c r="M19" s="1"/>
    </row>
    <row r="20" spans="1:13" ht="70" customHeight="1">
      <c r="A20" s="5" t="s">
        <v>26</v>
      </c>
      <c r="B20" s="5">
        <v>2024</v>
      </c>
      <c r="C20" s="5" t="s">
        <v>488</v>
      </c>
      <c r="D20" s="5" t="s">
        <v>489</v>
      </c>
      <c r="E20" s="5">
        <v>440</v>
      </c>
      <c r="F20" s="5"/>
      <c r="G20" s="5" t="s">
        <v>180</v>
      </c>
      <c r="H20" s="5" t="s">
        <v>490</v>
      </c>
      <c r="I20" s="5" t="s">
        <v>491</v>
      </c>
      <c r="J20" s="5" t="s">
        <v>492</v>
      </c>
      <c r="K20" s="5" t="s">
        <v>493</v>
      </c>
      <c r="L20" s="13" t="str">
        <f t="shared" si="0"/>
        <v/>
      </c>
      <c r="M20" s="1"/>
    </row>
    <row r="21" spans="1:13" ht="70" customHeight="1">
      <c r="A21" s="6" t="s">
        <v>26</v>
      </c>
      <c r="B21" s="6">
        <v>2025</v>
      </c>
      <c r="C21" s="6" t="s">
        <v>494</v>
      </c>
      <c r="D21" s="6" t="s">
        <v>495</v>
      </c>
      <c r="E21" s="6">
        <v>359</v>
      </c>
      <c r="F21" s="6"/>
      <c r="G21" s="6" t="s">
        <v>180</v>
      </c>
      <c r="H21" s="6" t="s">
        <v>490</v>
      </c>
      <c r="I21" s="6" t="s">
        <v>491</v>
      </c>
      <c r="J21" s="6" t="s">
        <v>492</v>
      </c>
      <c r="K21" s="6" t="s">
        <v>496</v>
      </c>
      <c r="L21" s="14" t="str">
        <f t="shared" si="0"/>
        <v/>
      </c>
      <c r="M21" s="1"/>
    </row>
    <row r="22" spans="1:13" ht="70" customHeight="1">
      <c r="A22" s="5" t="s">
        <v>26</v>
      </c>
      <c r="B22" s="5">
        <v>2026</v>
      </c>
      <c r="C22" s="5" t="s">
        <v>497</v>
      </c>
      <c r="D22" s="5" t="s">
        <v>498</v>
      </c>
      <c r="E22" s="5">
        <v>700</v>
      </c>
      <c r="F22" s="5"/>
      <c r="G22" s="5" t="s">
        <v>180</v>
      </c>
      <c r="H22" s="5" t="s">
        <v>490</v>
      </c>
      <c r="I22" s="5" t="s">
        <v>499</v>
      </c>
      <c r="J22" s="5" t="s">
        <v>492</v>
      </c>
      <c r="K22" s="5" t="s">
        <v>500</v>
      </c>
      <c r="L22" s="13" t="str">
        <f t="shared" si="0"/>
        <v/>
      </c>
      <c r="M22" s="1"/>
    </row>
    <row r="23" spans="1:13" ht="70" customHeight="1">
      <c r="A23" s="6" t="s">
        <v>26</v>
      </c>
      <c r="B23" s="6">
        <v>2026</v>
      </c>
      <c r="C23" s="6" t="s">
        <v>501</v>
      </c>
      <c r="D23" s="6" t="s">
        <v>502</v>
      </c>
      <c r="E23" s="6">
        <v>3600</v>
      </c>
      <c r="F23" s="6"/>
      <c r="G23" s="6" t="s">
        <v>472</v>
      </c>
      <c r="H23" s="6" t="s">
        <v>503</v>
      </c>
      <c r="I23" s="6" t="s">
        <v>504</v>
      </c>
      <c r="J23" s="6" t="s">
        <v>505</v>
      </c>
      <c r="K23" s="6" t="s">
        <v>506</v>
      </c>
      <c r="L23" s="14" t="str">
        <f t="shared" si="0"/>
        <v/>
      </c>
      <c r="M23" s="1"/>
    </row>
    <row r="24" spans="1:13" ht="70" customHeight="1">
      <c r="A24" s="5" t="s">
        <v>31</v>
      </c>
      <c r="B24" s="5">
        <v>2024</v>
      </c>
      <c r="C24" s="5" t="s">
        <v>429</v>
      </c>
      <c r="D24" s="5" t="s">
        <v>430</v>
      </c>
      <c r="E24" s="5">
        <v>131</v>
      </c>
      <c r="F24" s="5"/>
      <c r="G24" s="5" t="s">
        <v>180</v>
      </c>
      <c r="H24" s="5" t="s">
        <v>507</v>
      </c>
      <c r="I24" s="5" t="s">
        <v>508</v>
      </c>
      <c r="J24" s="5" t="s">
        <v>509</v>
      </c>
      <c r="K24" s="5" t="s">
        <v>510</v>
      </c>
      <c r="L24" s="13" t="str">
        <f t="shared" si="0"/>
        <v/>
      </c>
      <c r="M24" s="1"/>
    </row>
    <row r="25" spans="1:13" ht="70" customHeight="1">
      <c r="A25" s="6" t="s">
        <v>31</v>
      </c>
      <c r="B25" s="6">
        <v>2025</v>
      </c>
      <c r="C25" s="6" t="s">
        <v>447</v>
      </c>
      <c r="D25" s="6" t="s">
        <v>430</v>
      </c>
      <c r="E25" s="6">
        <v>103</v>
      </c>
      <c r="F25" s="6"/>
      <c r="G25" s="6" t="s">
        <v>180</v>
      </c>
      <c r="H25" s="6" t="s">
        <v>507</v>
      </c>
      <c r="I25" s="6" t="s">
        <v>511</v>
      </c>
      <c r="J25" s="6" t="s">
        <v>509</v>
      </c>
      <c r="K25" s="6" t="s">
        <v>512</v>
      </c>
      <c r="L25" s="14" t="str">
        <f t="shared" si="0"/>
        <v/>
      </c>
      <c r="M25" s="1"/>
    </row>
    <row r="26" spans="1:13" ht="70" customHeight="1">
      <c r="A26" s="5" t="s">
        <v>35</v>
      </c>
      <c r="B26" s="5">
        <v>2024</v>
      </c>
      <c r="C26" s="5" t="s">
        <v>513</v>
      </c>
      <c r="D26" s="5" t="s">
        <v>430</v>
      </c>
      <c r="E26" s="5">
        <v>36</v>
      </c>
      <c r="F26" s="5"/>
      <c r="G26" s="5" t="s">
        <v>180</v>
      </c>
      <c r="H26" s="5" t="s">
        <v>514</v>
      </c>
      <c r="I26" s="5" t="s">
        <v>515</v>
      </c>
      <c r="J26" s="5" t="s">
        <v>516</v>
      </c>
      <c r="K26" s="5" t="s">
        <v>517</v>
      </c>
      <c r="L26" s="13" t="str">
        <f t="shared" si="0"/>
        <v/>
      </c>
      <c r="M26" s="1"/>
    </row>
    <row r="27" spans="1:13" ht="70" customHeight="1">
      <c r="A27" s="6" t="s">
        <v>35</v>
      </c>
      <c r="B27" s="6">
        <v>2024</v>
      </c>
      <c r="C27" s="6" t="s">
        <v>518</v>
      </c>
      <c r="D27" s="6" t="s">
        <v>443</v>
      </c>
      <c r="E27" s="6">
        <v>47</v>
      </c>
      <c r="F27" s="6"/>
      <c r="G27" s="6" t="s">
        <v>180</v>
      </c>
      <c r="H27" s="6" t="s">
        <v>514</v>
      </c>
      <c r="I27" s="6" t="s">
        <v>519</v>
      </c>
      <c r="J27" s="6" t="s">
        <v>516</v>
      </c>
      <c r="K27" s="6" t="s">
        <v>520</v>
      </c>
      <c r="L27" s="14" t="str">
        <f t="shared" si="0"/>
        <v/>
      </c>
      <c r="M27" s="1"/>
    </row>
    <row r="28" spans="1:13" ht="70" customHeight="1">
      <c r="A28" s="5" t="s">
        <v>35</v>
      </c>
      <c r="B28" s="5">
        <v>2025</v>
      </c>
      <c r="C28" s="5" t="s">
        <v>429</v>
      </c>
      <c r="D28" s="5" t="s">
        <v>461</v>
      </c>
      <c r="E28" s="5">
        <v>29</v>
      </c>
      <c r="F28" s="5"/>
      <c r="G28" s="5" t="s">
        <v>180</v>
      </c>
      <c r="H28" s="5" t="s">
        <v>521</v>
      </c>
      <c r="I28" s="5" t="s">
        <v>522</v>
      </c>
      <c r="J28" s="5" t="s">
        <v>516</v>
      </c>
      <c r="K28" s="5" t="s">
        <v>523</v>
      </c>
      <c r="L28" s="13" t="str">
        <f t="shared" si="0"/>
        <v/>
      </c>
      <c r="M28" s="1"/>
    </row>
    <row r="29" spans="1:13" ht="70" customHeight="1">
      <c r="A29" s="6" t="s">
        <v>39</v>
      </c>
      <c r="B29" s="6">
        <v>2024</v>
      </c>
      <c r="C29" s="6" t="s">
        <v>442</v>
      </c>
      <c r="D29" s="6" t="s">
        <v>443</v>
      </c>
      <c r="E29" s="6">
        <v>31</v>
      </c>
      <c r="F29" s="6"/>
      <c r="G29" s="6" t="s">
        <v>180</v>
      </c>
      <c r="H29" s="6" t="s">
        <v>524</v>
      </c>
      <c r="I29" s="6" t="s">
        <v>525</v>
      </c>
      <c r="J29" s="6" t="s">
        <v>526</v>
      </c>
      <c r="K29" s="6" t="s">
        <v>527</v>
      </c>
      <c r="L29" s="14" t="str">
        <f t="shared" si="0"/>
        <v/>
      </c>
      <c r="M29" s="1"/>
    </row>
    <row r="30" spans="1:13" ht="70" customHeight="1">
      <c r="A30" s="5" t="s">
        <v>39</v>
      </c>
      <c r="B30" s="5">
        <v>2025</v>
      </c>
      <c r="C30" s="5" t="s">
        <v>528</v>
      </c>
      <c r="D30" s="5" t="s">
        <v>529</v>
      </c>
      <c r="E30" s="5">
        <v>35</v>
      </c>
      <c r="F30" s="5"/>
      <c r="G30" s="5" t="s">
        <v>530</v>
      </c>
      <c r="H30" s="5" t="s">
        <v>524</v>
      </c>
      <c r="I30" s="5" t="s">
        <v>531</v>
      </c>
      <c r="J30" s="5" t="s">
        <v>526</v>
      </c>
      <c r="K30" s="5" t="s">
        <v>532</v>
      </c>
      <c r="L30" s="13" t="str">
        <f t="shared" si="0"/>
        <v/>
      </c>
      <c r="M30" s="1"/>
    </row>
    <row r="31" spans="1:13" ht="25" customHeight="1">
      <c r="A31" s="1"/>
      <c r="B31" s="1"/>
      <c r="C31" s="1"/>
      <c r="D31" s="1"/>
      <c r="E31" s="1"/>
      <c r="F31" s="1"/>
      <c r="G31" s="1"/>
      <c r="H31" s="1"/>
      <c r="I31" s="1"/>
      <c r="J31" s="1"/>
      <c r="K31" s="1"/>
      <c r="L31" s="1"/>
      <c r="M31" s="1"/>
    </row>
    <row r="32" spans="1:13" ht="25" customHeight="1">
      <c r="A32" s="1"/>
      <c r="B32" s="1"/>
      <c r="C32" s="1"/>
      <c r="D32" s="1"/>
      <c r="E32" s="1"/>
      <c r="F32" s="1"/>
      <c r="G32" s="1"/>
      <c r="H32" s="1"/>
      <c r="I32" s="1"/>
      <c r="J32" s="1"/>
      <c r="K32" s="1"/>
      <c r="L32" s="1"/>
      <c r="M32" s="1"/>
    </row>
    <row r="33" spans="1:13" ht="25" customHeight="1">
      <c r="A33" s="1"/>
      <c r="B33" s="1"/>
      <c r="C33" s="1"/>
      <c r="D33" s="1"/>
      <c r="E33" s="1"/>
      <c r="F33" s="1"/>
      <c r="G33" s="1"/>
      <c r="H33" s="1"/>
      <c r="I33" s="1"/>
      <c r="J33" s="1"/>
      <c r="K33" s="1"/>
      <c r="L33" s="1"/>
      <c r="M33" s="1"/>
    </row>
    <row r="34" spans="1:13" ht="25" customHeight="1">
      <c r="A34" s="1" t="s">
        <v>533</v>
      </c>
      <c r="B34" s="1"/>
      <c r="C34" s="1"/>
      <c r="D34" s="1"/>
      <c r="E34" s="1"/>
      <c r="F34" s="1"/>
      <c r="G34" s="1"/>
      <c r="H34" s="1"/>
      <c r="I34" s="1"/>
      <c r="J34" s="1"/>
      <c r="K34" s="1"/>
      <c r="L34" s="1"/>
      <c r="M34" s="1"/>
    </row>
    <row r="35" spans="1:13" ht="25" customHeight="1">
      <c r="A35" s="1"/>
      <c r="B35" s="1"/>
      <c r="C35" s="1"/>
      <c r="D35" s="1"/>
      <c r="E35" s="1"/>
      <c r="F35" s="1"/>
      <c r="G35" s="1"/>
      <c r="H35" s="1"/>
      <c r="I35" s="1"/>
      <c r="J35" s="1"/>
      <c r="K35" s="1"/>
      <c r="L35" s="1"/>
      <c r="M35" s="1"/>
    </row>
    <row r="36" spans="1:13" ht="25" customHeight="1">
      <c r="A36" s="1" t="s">
        <v>534</v>
      </c>
      <c r="B36" s="1"/>
      <c r="C36" s="1"/>
      <c r="D36" s="1"/>
      <c r="E36" s="1"/>
      <c r="F36" s="1"/>
      <c r="G36" s="1"/>
      <c r="H36" s="1"/>
      <c r="I36" s="1"/>
      <c r="J36" s="1"/>
      <c r="K36" s="1"/>
      <c r="L36" s="1"/>
      <c r="M36" s="1"/>
    </row>
    <row r="37" spans="1:13" ht="25" customHeight="1">
      <c r="A37" s="1"/>
      <c r="B37" s="1"/>
      <c r="C37" s="1"/>
      <c r="D37" s="1"/>
      <c r="E37" s="1"/>
      <c r="F37" s="1"/>
      <c r="G37" s="1"/>
      <c r="H37" s="1"/>
      <c r="I37" s="1"/>
      <c r="J37" s="1"/>
      <c r="K37" s="1"/>
      <c r="L37" s="1"/>
      <c r="M37" s="1"/>
    </row>
    <row r="38" spans="1:13" ht="25" customHeight="1">
      <c r="A38" s="1" t="s">
        <v>535</v>
      </c>
      <c r="B38" s="1"/>
      <c r="C38" s="1"/>
      <c r="D38" s="1"/>
      <c r="E38" s="1"/>
      <c r="F38" s="1"/>
      <c r="G38" s="1"/>
      <c r="H38" s="1"/>
      <c r="I38" s="1"/>
      <c r="J38" s="1"/>
      <c r="K38" s="1"/>
      <c r="L38" s="1"/>
      <c r="M38" s="1"/>
    </row>
    <row r="39" spans="1:13" ht="25" customHeight="1">
      <c r="A39" s="1"/>
      <c r="B39" s="1"/>
      <c r="C39" s="1"/>
      <c r="D39" s="1"/>
      <c r="E39" s="1"/>
      <c r="F39" s="1"/>
      <c r="G39" s="1"/>
      <c r="H39" s="1"/>
      <c r="I39" s="1"/>
      <c r="J39" s="1"/>
      <c r="K39" s="1"/>
      <c r="L39" s="1"/>
      <c r="M39" s="1"/>
    </row>
    <row r="40" spans="1:13" ht="25" customHeight="1">
      <c r="A40" s="1"/>
      <c r="B40" s="1"/>
      <c r="C40" s="1"/>
      <c r="D40" s="1"/>
      <c r="E40" s="1"/>
      <c r="F40" s="1"/>
      <c r="G40" s="1"/>
      <c r="H40" s="1"/>
      <c r="I40" s="1"/>
      <c r="J40" s="1"/>
      <c r="K40" s="1"/>
      <c r="L40" s="1"/>
      <c r="M40" s="1"/>
    </row>
    <row r="41" spans="1:13" ht="25" customHeight="1">
      <c r="A41" s="1" t="s">
        <v>536</v>
      </c>
      <c r="B41" s="1"/>
      <c r="C41" s="1"/>
      <c r="D41" s="1"/>
      <c r="E41" s="1"/>
      <c r="F41" s="1"/>
      <c r="G41" s="1"/>
      <c r="H41" s="1"/>
      <c r="I41" s="1"/>
      <c r="J41" s="1"/>
      <c r="K41" s="1"/>
      <c r="L41" s="1"/>
      <c r="M41" s="1"/>
    </row>
    <row r="42" spans="1:13" ht="25" customHeight="1">
      <c r="A42" s="1"/>
      <c r="B42" s="1"/>
      <c r="C42" s="1"/>
      <c r="D42" s="1"/>
      <c r="E42" s="1"/>
      <c r="F42" s="1"/>
      <c r="G42" s="1"/>
      <c r="H42" s="1"/>
      <c r="I42" s="1"/>
      <c r="J42" s="1"/>
      <c r="K42" s="1"/>
      <c r="L42" s="1"/>
      <c r="M42" s="1"/>
    </row>
    <row r="43" spans="1:13" ht="25" customHeight="1">
      <c r="A43" s="1" t="s">
        <v>537</v>
      </c>
      <c r="B43" s="1" t="s">
        <v>538</v>
      </c>
      <c r="C43" s="1" t="s">
        <v>539</v>
      </c>
      <c r="D43" s="1"/>
      <c r="E43" s="1"/>
      <c r="F43" s="1"/>
      <c r="G43" s="1"/>
      <c r="H43" s="1"/>
      <c r="I43" s="1"/>
      <c r="J43" s="1"/>
      <c r="K43" s="1"/>
      <c r="L43" s="1"/>
      <c r="M43" s="1"/>
    </row>
    <row r="44" spans="1:13" ht="25" customHeight="1">
      <c r="A44" s="1" t="s">
        <v>540</v>
      </c>
      <c r="B44" s="1">
        <v>43</v>
      </c>
      <c r="C44" s="15">
        <f>B44/$B$48</f>
        <v>0.5</v>
      </c>
      <c r="D44" s="1"/>
      <c r="E44" s="1"/>
      <c r="F44" s="1"/>
      <c r="G44" s="1"/>
      <c r="H44" s="1"/>
      <c r="I44" s="1"/>
      <c r="J44" s="1"/>
      <c r="K44" s="1"/>
      <c r="L44" s="1"/>
      <c r="M44" s="1"/>
    </row>
    <row r="45" spans="1:13" ht="25" customHeight="1">
      <c r="A45" s="1" t="s">
        <v>541</v>
      </c>
      <c r="B45" s="1">
        <v>10</v>
      </c>
      <c r="C45" s="15">
        <f>B45/$B$48</f>
        <v>0.11627906976744186</v>
      </c>
      <c r="D45" s="1"/>
      <c r="E45" s="1"/>
      <c r="F45" s="1"/>
      <c r="G45" s="1"/>
      <c r="H45" s="1"/>
      <c r="I45" s="1"/>
      <c r="J45" s="1"/>
      <c r="K45" s="1"/>
      <c r="L45" s="1"/>
      <c r="M45" s="1"/>
    </row>
    <row r="46" spans="1:13" ht="25" customHeight="1">
      <c r="A46" s="1" t="s">
        <v>542</v>
      </c>
      <c r="B46" s="1">
        <v>24</v>
      </c>
      <c r="C46" s="15">
        <f>B46/$B$48</f>
        <v>0.27906976744186046</v>
      </c>
      <c r="D46" s="1"/>
      <c r="E46" s="1"/>
      <c r="F46" s="1"/>
      <c r="G46" s="1"/>
      <c r="H46" s="1"/>
      <c r="I46" s="1"/>
      <c r="J46" s="1"/>
      <c r="K46" s="1"/>
      <c r="L46" s="1"/>
      <c r="M46" s="1"/>
    </row>
    <row r="47" spans="1:13" ht="25" customHeight="1">
      <c r="A47" s="1" t="s">
        <v>543</v>
      </c>
      <c r="B47" s="1">
        <v>9</v>
      </c>
      <c r="C47" s="15">
        <f>B47/$B$48</f>
        <v>0.10465116279069768</v>
      </c>
      <c r="D47" s="1"/>
      <c r="E47" s="1"/>
      <c r="F47" s="1"/>
      <c r="G47" s="1"/>
      <c r="H47" s="1"/>
      <c r="I47" s="1"/>
      <c r="J47" s="1"/>
      <c r="K47" s="1"/>
      <c r="L47" s="1"/>
      <c r="M47" s="1"/>
    </row>
    <row r="48" spans="1:13" ht="25" customHeight="1">
      <c r="A48" s="1" t="s">
        <v>544</v>
      </c>
      <c r="B48" s="1">
        <f>SUM(B44:B47)</f>
        <v>86</v>
      </c>
      <c r="C48" s="15">
        <f>B48/$B$48</f>
        <v>1</v>
      </c>
      <c r="D48" s="1"/>
      <c r="E48" s="1"/>
      <c r="F48" s="1"/>
      <c r="G48" s="1"/>
      <c r="H48" s="1"/>
      <c r="I48" s="1"/>
      <c r="J48" s="1"/>
      <c r="K48" s="1"/>
      <c r="L48" s="1"/>
      <c r="M48" s="1"/>
    </row>
    <row r="49" spans="1:13" ht="25" customHeight="1">
      <c r="A49" s="1"/>
      <c r="B49" s="1"/>
      <c r="C49" s="1"/>
      <c r="D49" s="1"/>
      <c r="E49" s="1"/>
      <c r="F49" s="1"/>
      <c r="G49" s="1"/>
      <c r="H49" s="1"/>
      <c r="I49" s="1"/>
      <c r="J49" s="1"/>
      <c r="K49" s="1"/>
      <c r="L49" s="1"/>
      <c r="M49" s="1"/>
    </row>
    <row r="50" spans="1:13" ht="25" customHeight="1">
      <c r="A50" s="1" t="s">
        <v>545</v>
      </c>
      <c r="B50" s="1"/>
      <c r="C50" s="1"/>
      <c r="D50" s="1"/>
      <c r="E50" s="1"/>
      <c r="F50" s="1"/>
      <c r="G50" s="1"/>
      <c r="H50" s="1"/>
      <c r="I50" s="1"/>
      <c r="J50" s="1"/>
      <c r="K50" s="1"/>
      <c r="L50" s="1"/>
      <c r="M50" s="1"/>
    </row>
    <row r="51" spans="1:13" ht="25" customHeight="1">
      <c r="A51" s="1"/>
      <c r="B51" s="1"/>
      <c r="C51" s="1"/>
      <c r="D51" s="1"/>
      <c r="E51" s="1"/>
      <c r="F51" s="1"/>
      <c r="G51" s="1"/>
      <c r="H51" s="1"/>
      <c r="I51" s="1"/>
      <c r="J51" s="1"/>
      <c r="K51" s="1"/>
      <c r="L51" s="1"/>
      <c r="M51" s="1"/>
    </row>
    <row r="52" spans="1:13" ht="25" customHeight="1">
      <c r="A52" s="1"/>
      <c r="B52" s="1"/>
      <c r="C52" s="1"/>
      <c r="D52" s="1"/>
      <c r="E52" s="1"/>
      <c r="F52" s="1"/>
      <c r="G52" s="1"/>
      <c r="H52" s="1"/>
      <c r="I52" s="1"/>
      <c r="J52" s="1"/>
      <c r="K52" s="1"/>
      <c r="L52" s="1"/>
      <c r="M52" s="1"/>
    </row>
    <row r="53" spans="1:13" ht="25" customHeight="1">
      <c r="A53" s="1"/>
      <c r="B53" s="1"/>
      <c r="C53" s="1"/>
      <c r="D53" s="1"/>
      <c r="E53" s="1"/>
      <c r="F53" s="1"/>
      <c r="G53" s="1"/>
      <c r="H53" s="1"/>
      <c r="I53" s="1"/>
      <c r="J53" s="1"/>
      <c r="K53" s="1"/>
      <c r="L53" s="1"/>
      <c r="M53" s="1"/>
    </row>
    <row r="54" spans="1:13" ht="25" customHeight="1">
      <c r="A54" s="1"/>
      <c r="B54" s="1"/>
      <c r="C54" s="1"/>
      <c r="D54" s="1"/>
      <c r="E54" s="1"/>
      <c r="F54" s="1"/>
      <c r="G54" s="1"/>
      <c r="H54" s="1"/>
      <c r="I54" s="1"/>
      <c r="J54" s="1"/>
      <c r="K54" s="1"/>
      <c r="L54" s="1"/>
      <c r="M54" s="1"/>
    </row>
    <row r="55" spans="1:13" ht="25" customHeight="1">
      <c r="A55" s="1"/>
      <c r="B55" s="1"/>
      <c r="C55" s="1"/>
      <c r="D55" s="1"/>
      <c r="E55" s="1"/>
      <c r="F55" s="1"/>
      <c r="G55" s="1"/>
      <c r="H55" s="1"/>
      <c r="I55" s="1"/>
      <c r="J55" s="1"/>
      <c r="K55" s="1"/>
      <c r="L55" s="1"/>
      <c r="M55" s="1"/>
    </row>
    <row r="56" spans="1:13" ht="25" customHeight="1">
      <c r="A56" s="1"/>
      <c r="B56" s="1"/>
      <c r="C56" s="1"/>
      <c r="D56" s="1"/>
      <c r="E56" s="1"/>
      <c r="F56" s="1"/>
      <c r="G56" s="1"/>
      <c r="H56" s="1"/>
      <c r="I56" s="1"/>
      <c r="J56" s="1"/>
      <c r="K56" s="1"/>
      <c r="L56" s="1"/>
      <c r="M56" s="1"/>
    </row>
    <row r="57" spans="1:13" ht="25" customHeight="1">
      <c r="A57" s="1"/>
      <c r="B57" s="1"/>
      <c r="C57" s="1"/>
      <c r="D57" s="1"/>
      <c r="E57" s="1"/>
      <c r="F57" s="1"/>
      <c r="G57" s="1"/>
      <c r="H57" s="1"/>
      <c r="I57" s="1"/>
      <c r="J57" s="1"/>
      <c r="K57" s="1"/>
      <c r="L57" s="1"/>
      <c r="M57" s="1"/>
    </row>
    <row r="58" spans="1:13" ht="25" customHeight="1">
      <c r="A58" s="1"/>
      <c r="B58" s="1"/>
      <c r="C58" s="1"/>
      <c r="D58" s="1"/>
      <c r="E58" s="1"/>
      <c r="F58" s="1"/>
      <c r="G58" s="1"/>
      <c r="H58" s="1"/>
      <c r="I58" s="1"/>
      <c r="J58" s="1"/>
      <c r="K58" s="1"/>
      <c r="L58" s="1"/>
      <c r="M58" s="1"/>
    </row>
    <row r="59" spans="1:13" ht="25" customHeight="1">
      <c r="A59" s="1"/>
      <c r="B59" s="1"/>
      <c r="C59" s="1"/>
      <c r="D59" s="1"/>
      <c r="E59" s="1"/>
      <c r="F59" s="1"/>
      <c r="G59" s="1"/>
      <c r="H59" s="1"/>
      <c r="I59" s="1"/>
      <c r="J59" s="1"/>
      <c r="K59" s="1"/>
      <c r="L59" s="1"/>
      <c r="M59" s="1"/>
    </row>
    <row r="60" spans="1:13" ht="25" customHeight="1">
      <c r="A60" s="1"/>
      <c r="B60" s="1"/>
      <c r="C60" s="1"/>
      <c r="D60" s="1"/>
      <c r="E60" s="1"/>
      <c r="F60" s="1"/>
      <c r="G60" s="1"/>
      <c r="H60" s="1"/>
      <c r="I60" s="1"/>
      <c r="J60" s="1"/>
      <c r="K60" s="1"/>
      <c r="L60" s="1"/>
      <c r="M60" s="1"/>
    </row>
  </sheetData>
  <phoneticPr fontId="9" type="noConversion"/>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70"/>
  <sheetViews>
    <sheetView showGridLines="0" zoomScaleNormal="100" workbookViewId="0">
      <pane ySplit="5" topLeftCell="A6" activePane="bottomLeft" state="frozen"/>
      <selection pane="bottomLeft"/>
    </sheetView>
  </sheetViews>
  <sheetFormatPr defaultColWidth="8.6328125" defaultRowHeight="12.5"/>
  <cols>
    <col min="1" max="1" width="10" customWidth="1"/>
    <col min="2" max="2" width="23" customWidth="1"/>
    <col min="3" max="3" width="14" customWidth="1"/>
    <col min="4" max="4" width="23" customWidth="1"/>
    <col min="5" max="6" width="15" customWidth="1"/>
    <col min="7" max="7" width="33" customWidth="1"/>
    <col min="8" max="8" width="17" customWidth="1"/>
    <col min="9" max="9" width="48" customWidth="1"/>
    <col min="10" max="10" width="45" customWidth="1"/>
    <col min="11" max="11" width="18" customWidth="1"/>
    <col min="12" max="12" width="15" customWidth="1"/>
  </cols>
  <sheetData>
    <row r="1" spans="1:12" ht="25" customHeight="1">
      <c r="A1" s="1"/>
      <c r="B1" s="1"/>
      <c r="C1" s="1"/>
      <c r="D1" s="1"/>
      <c r="E1" s="1"/>
      <c r="F1" s="1"/>
      <c r="G1" s="1"/>
      <c r="H1" s="1"/>
      <c r="I1" s="1"/>
      <c r="J1" s="1"/>
      <c r="K1" s="1"/>
      <c r="L1" s="1"/>
    </row>
    <row r="2" spans="1:12" ht="25" customHeight="1">
      <c r="A2" s="2" t="s">
        <v>546</v>
      </c>
      <c r="B2" s="1"/>
      <c r="C2" s="1"/>
      <c r="D2" s="1"/>
      <c r="E2" s="1"/>
      <c r="F2" s="1"/>
      <c r="G2" s="1"/>
      <c r="H2" s="1"/>
      <c r="I2" s="1"/>
      <c r="J2" s="1"/>
      <c r="K2" s="1"/>
      <c r="L2" s="1"/>
    </row>
    <row r="3" spans="1:12" ht="25" customHeight="1">
      <c r="A3" s="3" t="s">
        <v>547</v>
      </c>
      <c r="B3" s="1"/>
      <c r="C3" s="1"/>
      <c r="D3" s="1"/>
      <c r="E3" s="1"/>
      <c r="F3" s="1"/>
      <c r="G3" s="1"/>
      <c r="H3" s="1"/>
      <c r="I3" s="1"/>
      <c r="J3" s="1"/>
      <c r="K3" s="1"/>
      <c r="L3" s="1"/>
    </row>
    <row r="4" spans="1:12" ht="25" customHeight="1">
      <c r="A4" s="1"/>
      <c r="B4" s="1"/>
      <c r="C4" s="1"/>
      <c r="D4" s="1"/>
      <c r="E4" s="1"/>
      <c r="F4" s="1"/>
      <c r="G4" s="1"/>
      <c r="H4" s="1"/>
      <c r="I4" s="1"/>
      <c r="J4" s="1"/>
      <c r="K4" s="1"/>
      <c r="L4" s="1"/>
    </row>
    <row r="5" spans="1:12" ht="40" customHeight="1">
      <c r="A5" s="4" t="s">
        <v>548</v>
      </c>
      <c r="B5" s="4" t="s">
        <v>2</v>
      </c>
      <c r="C5" s="4" t="s">
        <v>537</v>
      </c>
      <c r="D5" s="4" t="s">
        <v>549</v>
      </c>
      <c r="E5" s="4" t="s">
        <v>550</v>
      </c>
      <c r="F5" s="4" t="s">
        <v>551</v>
      </c>
      <c r="G5" s="4" t="s">
        <v>552</v>
      </c>
      <c r="H5" s="4" t="s">
        <v>553</v>
      </c>
      <c r="I5" s="4" t="s">
        <v>554</v>
      </c>
      <c r="J5" s="4" t="s">
        <v>555</v>
      </c>
      <c r="K5" s="4" t="s">
        <v>556</v>
      </c>
      <c r="L5" s="4" t="s">
        <v>557</v>
      </c>
    </row>
    <row r="6" spans="1:12" ht="55" customHeight="1">
      <c r="A6" s="5" t="s">
        <v>558</v>
      </c>
      <c r="B6" s="5" t="s">
        <v>7</v>
      </c>
      <c r="C6" s="5" t="s">
        <v>559</v>
      </c>
      <c r="D6" s="5" t="s">
        <v>560</v>
      </c>
      <c r="E6" s="16">
        <v>100</v>
      </c>
      <c r="F6" s="16">
        <v>300</v>
      </c>
      <c r="G6" s="5" t="s">
        <v>8</v>
      </c>
      <c r="H6" s="5" t="s">
        <v>561</v>
      </c>
      <c r="I6" s="5" t="s">
        <v>562</v>
      </c>
      <c r="J6" s="5" t="s">
        <v>563</v>
      </c>
      <c r="K6" s="5" t="s">
        <v>564</v>
      </c>
      <c r="L6" s="17">
        <f t="shared" ref="L6:L37" si="0">IF(AND(ISNUMBER(E6),ISNUMBER(F6)),F6-E6,"")</f>
        <v>200</v>
      </c>
    </row>
    <row r="7" spans="1:12" ht="55" customHeight="1">
      <c r="A7" s="6" t="s">
        <v>565</v>
      </c>
      <c r="B7" s="6" t="s">
        <v>12</v>
      </c>
      <c r="C7" s="6" t="s">
        <v>559</v>
      </c>
      <c r="D7" s="6" t="s">
        <v>566</v>
      </c>
      <c r="E7" s="18"/>
      <c r="F7" s="18">
        <v>100</v>
      </c>
      <c r="G7" s="6" t="s">
        <v>13</v>
      </c>
      <c r="H7" s="6" t="s">
        <v>188</v>
      </c>
      <c r="I7" s="6" t="s">
        <v>567</v>
      </c>
      <c r="J7" s="6" t="s">
        <v>568</v>
      </c>
      <c r="K7" s="6" t="s">
        <v>569</v>
      </c>
      <c r="L7" s="19" t="str">
        <f t="shared" si="0"/>
        <v/>
      </c>
    </row>
    <row r="8" spans="1:12" ht="55" customHeight="1">
      <c r="A8" s="5" t="s">
        <v>570</v>
      </c>
      <c r="B8" s="5" t="s">
        <v>16</v>
      </c>
      <c r="C8" s="5" t="s">
        <v>559</v>
      </c>
      <c r="D8" s="5" t="s">
        <v>571</v>
      </c>
      <c r="E8" s="16"/>
      <c r="F8" s="16"/>
      <c r="G8" s="5" t="s">
        <v>17</v>
      </c>
      <c r="H8" s="5" t="s">
        <v>561</v>
      </c>
      <c r="I8" s="5" t="s">
        <v>572</v>
      </c>
      <c r="J8" s="5" t="s">
        <v>573</v>
      </c>
      <c r="K8" s="5" t="s">
        <v>574</v>
      </c>
      <c r="L8" s="17" t="str">
        <f t="shared" si="0"/>
        <v/>
      </c>
    </row>
    <row r="9" spans="1:12" ht="55" customHeight="1">
      <c r="A9" s="6" t="s">
        <v>575</v>
      </c>
      <c r="B9" s="6" t="s">
        <v>21</v>
      </c>
      <c r="C9" s="6" t="s">
        <v>559</v>
      </c>
      <c r="D9" s="6" t="s">
        <v>566</v>
      </c>
      <c r="E9" s="18">
        <v>100</v>
      </c>
      <c r="F9" s="18">
        <v>400</v>
      </c>
      <c r="G9" s="6" t="s">
        <v>22</v>
      </c>
      <c r="H9" s="6" t="s">
        <v>561</v>
      </c>
      <c r="I9" s="6" t="s">
        <v>576</v>
      </c>
      <c r="J9" s="6" t="s">
        <v>577</v>
      </c>
      <c r="K9" s="6" t="s">
        <v>578</v>
      </c>
      <c r="L9" s="19">
        <f t="shared" si="0"/>
        <v>300</v>
      </c>
    </row>
    <row r="10" spans="1:12" ht="55" customHeight="1">
      <c r="A10" s="5" t="s">
        <v>579</v>
      </c>
      <c r="B10" s="5" t="s">
        <v>26</v>
      </c>
      <c r="C10" s="5" t="s">
        <v>559</v>
      </c>
      <c r="D10" s="5" t="s">
        <v>580</v>
      </c>
      <c r="E10" s="16">
        <v>100</v>
      </c>
      <c r="F10" s="16">
        <v>300</v>
      </c>
      <c r="G10" s="5" t="s">
        <v>27</v>
      </c>
      <c r="H10" s="5" t="s">
        <v>581</v>
      </c>
      <c r="I10" s="5" t="s">
        <v>582</v>
      </c>
      <c r="J10" s="5" t="s">
        <v>583</v>
      </c>
      <c r="K10" s="5" t="s">
        <v>584</v>
      </c>
      <c r="L10" s="17">
        <f t="shared" si="0"/>
        <v>200</v>
      </c>
    </row>
    <row r="11" spans="1:12" ht="55" customHeight="1">
      <c r="A11" s="6" t="s">
        <v>585</v>
      </c>
      <c r="B11" s="6" t="s">
        <v>31</v>
      </c>
      <c r="C11" s="6" t="s">
        <v>559</v>
      </c>
      <c r="D11" s="6" t="s">
        <v>580</v>
      </c>
      <c r="E11" s="18">
        <v>100</v>
      </c>
      <c r="F11" s="18">
        <v>300</v>
      </c>
      <c r="G11" s="6" t="s">
        <v>32</v>
      </c>
      <c r="H11" s="6" t="s">
        <v>561</v>
      </c>
      <c r="I11" s="6" t="s">
        <v>586</v>
      </c>
      <c r="J11" s="6" t="s">
        <v>587</v>
      </c>
      <c r="K11" s="6" t="s">
        <v>588</v>
      </c>
      <c r="L11" s="19">
        <f t="shared" si="0"/>
        <v>200</v>
      </c>
    </row>
    <row r="12" spans="1:12" ht="55" customHeight="1">
      <c r="A12" s="5" t="s">
        <v>589</v>
      </c>
      <c r="B12" s="5" t="s">
        <v>35</v>
      </c>
      <c r="C12" s="5" t="s">
        <v>559</v>
      </c>
      <c r="D12" s="5" t="s">
        <v>580</v>
      </c>
      <c r="E12" s="16">
        <v>100</v>
      </c>
      <c r="F12" s="16">
        <v>300</v>
      </c>
      <c r="G12" s="5" t="s">
        <v>32</v>
      </c>
      <c r="H12" s="5" t="s">
        <v>226</v>
      </c>
      <c r="I12" s="5" t="s">
        <v>590</v>
      </c>
      <c r="J12" s="5" t="s">
        <v>591</v>
      </c>
      <c r="K12" s="5" t="s">
        <v>592</v>
      </c>
      <c r="L12" s="17">
        <f t="shared" si="0"/>
        <v>200</v>
      </c>
    </row>
    <row r="13" spans="1:12" ht="55" customHeight="1">
      <c r="A13" s="6" t="s">
        <v>593</v>
      </c>
      <c r="B13" s="6" t="s">
        <v>39</v>
      </c>
      <c r="C13" s="6" t="s">
        <v>559</v>
      </c>
      <c r="D13" s="6" t="s">
        <v>580</v>
      </c>
      <c r="E13" s="18">
        <v>50</v>
      </c>
      <c r="F13" s="18">
        <v>100</v>
      </c>
      <c r="G13" s="6" t="s">
        <v>40</v>
      </c>
      <c r="H13" s="6" t="s">
        <v>594</v>
      </c>
      <c r="I13" s="6" t="s">
        <v>595</v>
      </c>
      <c r="J13" s="6" t="s">
        <v>596</v>
      </c>
      <c r="K13" s="6" t="s">
        <v>597</v>
      </c>
      <c r="L13" s="19">
        <f t="shared" si="0"/>
        <v>50</v>
      </c>
    </row>
    <row r="14" spans="1:12" ht="55" customHeight="1">
      <c r="A14" s="5" t="s">
        <v>598</v>
      </c>
      <c r="B14" s="5" t="s">
        <v>7</v>
      </c>
      <c r="C14" s="5" t="s">
        <v>541</v>
      </c>
      <c r="D14" s="5" t="s">
        <v>599</v>
      </c>
      <c r="E14" s="16">
        <v>50</v>
      </c>
      <c r="F14" s="16">
        <v>100</v>
      </c>
      <c r="G14" s="5" t="s">
        <v>600</v>
      </c>
      <c r="H14" s="5" t="s">
        <v>561</v>
      </c>
      <c r="I14" s="5" t="s">
        <v>562</v>
      </c>
      <c r="J14" s="5" t="s">
        <v>563</v>
      </c>
      <c r="K14" s="5" t="s">
        <v>601</v>
      </c>
      <c r="L14" s="17">
        <f t="shared" si="0"/>
        <v>50</v>
      </c>
    </row>
    <row r="15" spans="1:12" ht="55" customHeight="1">
      <c r="A15" s="6" t="s">
        <v>602</v>
      </c>
      <c r="B15" s="6" t="s">
        <v>12</v>
      </c>
      <c r="C15" s="6" t="s">
        <v>541</v>
      </c>
      <c r="D15" s="6" t="s">
        <v>599</v>
      </c>
      <c r="E15" s="18">
        <v>0</v>
      </c>
      <c r="F15" s="18">
        <v>0</v>
      </c>
      <c r="G15" s="6" t="s">
        <v>603</v>
      </c>
      <c r="H15" s="6" t="s">
        <v>561</v>
      </c>
      <c r="I15" s="6" t="s">
        <v>604</v>
      </c>
      <c r="J15" s="6" t="s">
        <v>568</v>
      </c>
      <c r="K15" s="6" t="s">
        <v>574</v>
      </c>
      <c r="L15" s="19">
        <f t="shared" si="0"/>
        <v>0</v>
      </c>
    </row>
    <row r="16" spans="1:12" ht="55" customHeight="1">
      <c r="A16" s="5" t="s">
        <v>605</v>
      </c>
      <c r="B16" s="5" t="s">
        <v>16</v>
      </c>
      <c r="C16" s="5" t="s">
        <v>541</v>
      </c>
      <c r="D16" s="5" t="s">
        <v>571</v>
      </c>
      <c r="E16" s="16"/>
      <c r="F16" s="16"/>
      <c r="G16" s="5" t="s">
        <v>17</v>
      </c>
      <c r="H16" s="5" t="s">
        <v>561</v>
      </c>
      <c r="I16" s="5" t="s">
        <v>606</v>
      </c>
      <c r="J16" s="5" t="s">
        <v>573</v>
      </c>
      <c r="K16" s="5" t="s">
        <v>574</v>
      </c>
      <c r="L16" s="17" t="str">
        <f t="shared" si="0"/>
        <v/>
      </c>
    </row>
    <row r="17" spans="1:12" ht="55" customHeight="1">
      <c r="A17" s="6" t="s">
        <v>607</v>
      </c>
      <c r="B17" s="6" t="s">
        <v>21</v>
      </c>
      <c r="C17" s="6" t="s">
        <v>541</v>
      </c>
      <c r="D17" s="6" t="s">
        <v>608</v>
      </c>
      <c r="E17" s="18">
        <v>100</v>
      </c>
      <c r="F17" s="18">
        <v>200</v>
      </c>
      <c r="G17" s="6" t="s">
        <v>609</v>
      </c>
      <c r="H17" s="6" t="s">
        <v>561</v>
      </c>
      <c r="I17" s="6" t="s">
        <v>610</v>
      </c>
      <c r="J17" s="6" t="s">
        <v>577</v>
      </c>
      <c r="K17" s="6" t="s">
        <v>611</v>
      </c>
      <c r="L17" s="19">
        <f t="shared" si="0"/>
        <v>100</v>
      </c>
    </row>
    <row r="18" spans="1:12" ht="55" customHeight="1">
      <c r="A18" s="5" t="s">
        <v>612</v>
      </c>
      <c r="B18" s="5" t="s">
        <v>26</v>
      </c>
      <c r="C18" s="5" t="s">
        <v>541</v>
      </c>
      <c r="D18" s="5" t="s">
        <v>599</v>
      </c>
      <c r="E18" s="16">
        <v>50</v>
      </c>
      <c r="F18" s="16">
        <v>100</v>
      </c>
      <c r="G18" s="5" t="s">
        <v>600</v>
      </c>
      <c r="H18" s="5" t="s">
        <v>613</v>
      </c>
      <c r="I18" s="5" t="s">
        <v>614</v>
      </c>
      <c r="J18" s="5" t="s">
        <v>583</v>
      </c>
      <c r="K18" s="5" t="s">
        <v>584</v>
      </c>
      <c r="L18" s="17">
        <f t="shared" si="0"/>
        <v>50</v>
      </c>
    </row>
    <row r="19" spans="1:12" ht="55" customHeight="1">
      <c r="A19" s="6" t="s">
        <v>615</v>
      </c>
      <c r="B19" s="6" t="s">
        <v>31</v>
      </c>
      <c r="C19" s="6" t="s">
        <v>541</v>
      </c>
      <c r="D19" s="6" t="s">
        <v>599</v>
      </c>
      <c r="E19" s="18">
        <v>50</v>
      </c>
      <c r="F19" s="18">
        <v>100</v>
      </c>
      <c r="G19" s="6" t="s">
        <v>40</v>
      </c>
      <c r="H19" s="6" t="s">
        <v>561</v>
      </c>
      <c r="I19" s="6" t="s">
        <v>562</v>
      </c>
      <c r="J19" s="6" t="s">
        <v>587</v>
      </c>
      <c r="K19" s="6" t="s">
        <v>616</v>
      </c>
      <c r="L19" s="19">
        <f t="shared" si="0"/>
        <v>50</v>
      </c>
    </row>
    <row r="20" spans="1:12" ht="55" customHeight="1">
      <c r="A20" s="5" t="s">
        <v>617</v>
      </c>
      <c r="B20" s="5" t="s">
        <v>35</v>
      </c>
      <c r="C20" s="5" t="s">
        <v>541</v>
      </c>
      <c r="D20" s="5" t="s">
        <v>599</v>
      </c>
      <c r="E20" s="16">
        <v>50</v>
      </c>
      <c r="F20" s="16">
        <v>150</v>
      </c>
      <c r="G20" s="5" t="s">
        <v>36</v>
      </c>
      <c r="H20" s="5" t="s">
        <v>226</v>
      </c>
      <c r="I20" s="5" t="s">
        <v>562</v>
      </c>
      <c r="J20" s="5" t="s">
        <v>591</v>
      </c>
      <c r="K20" s="5" t="s">
        <v>592</v>
      </c>
      <c r="L20" s="17">
        <f t="shared" si="0"/>
        <v>100</v>
      </c>
    </row>
    <row r="21" spans="1:12" ht="55" customHeight="1">
      <c r="A21" s="6" t="s">
        <v>618</v>
      </c>
      <c r="B21" s="6" t="s">
        <v>39</v>
      </c>
      <c r="C21" s="6" t="s">
        <v>541</v>
      </c>
      <c r="D21" s="6" t="s">
        <v>599</v>
      </c>
      <c r="E21" s="18">
        <v>50</v>
      </c>
      <c r="F21" s="18">
        <v>100</v>
      </c>
      <c r="G21" s="6" t="s">
        <v>619</v>
      </c>
      <c r="H21" s="6" t="s">
        <v>594</v>
      </c>
      <c r="I21" s="6" t="s">
        <v>562</v>
      </c>
      <c r="J21" s="6" t="s">
        <v>596</v>
      </c>
      <c r="K21" s="6" t="s">
        <v>616</v>
      </c>
      <c r="L21" s="19">
        <f t="shared" si="0"/>
        <v>50</v>
      </c>
    </row>
    <row r="22" spans="1:12" ht="55" customHeight="1">
      <c r="A22" s="5" t="s">
        <v>620</v>
      </c>
      <c r="B22" s="5" t="s">
        <v>7</v>
      </c>
      <c r="C22" s="5" t="s">
        <v>621</v>
      </c>
      <c r="D22" s="5" t="s">
        <v>622</v>
      </c>
      <c r="E22" s="16">
        <v>300</v>
      </c>
      <c r="F22" s="16">
        <v>1000</v>
      </c>
      <c r="G22" s="5" t="s">
        <v>623</v>
      </c>
      <c r="H22" s="5" t="s">
        <v>594</v>
      </c>
      <c r="I22" s="5" t="s">
        <v>624</v>
      </c>
      <c r="J22" s="5" t="s">
        <v>563</v>
      </c>
      <c r="K22" s="5" t="s">
        <v>625</v>
      </c>
      <c r="L22" s="17">
        <f t="shared" si="0"/>
        <v>700</v>
      </c>
    </row>
    <row r="23" spans="1:12" ht="55" customHeight="1">
      <c r="A23" s="6" t="s">
        <v>626</v>
      </c>
      <c r="B23" s="6" t="s">
        <v>12</v>
      </c>
      <c r="C23" s="6" t="s">
        <v>621</v>
      </c>
      <c r="D23" s="6" t="s">
        <v>627</v>
      </c>
      <c r="E23" s="18"/>
      <c r="F23" s="18"/>
      <c r="G23" s="6" t="s">
        <v>628</v>
      </c>
      <c r="H23" s="6" t="s">
        <v>594</v>
      </c>
      <c r="I23" s="6" t="s">
        <v>629</v>
      </c>
      <c r="J23" s="6" t="s">
        <v>568</v>
      </c>
      <c r="K23" s="6" t="s">
        <v>630</v>
      </c>
      <c r="L23" s="19" t="str">
        <f t="shared" si="0"/>
        <v/>
      </c>
    </row>
    <row r="24" spans="1:12" ht="55" customHeight="1">
      <c r="A24" s="5" t="s">
        <v>631</v>
      </c>
      <c r="B24" s="5" t="s">
        <v>16</v>
      </c>
      <c r="C24" s="5" t="s">
        <v>621</v>
      </c>
      <c r="D24" s="5" t="s">
        <v>632</v>
      </c>
      <c r="E24" s="16"/>
      <c r="F24" s="16"/>
      <c r="G24" s="5" t="s">
        <v>17</v>
      </c>
      <c r="H24" s="5" t="s">
        <v>561</v>
      </c>
      <c r="I24" s="5" t="s">
        <v>633</v>
      </c>
      <c r="J24" s="5" t="s">
        <v>573</v>
      </c>
      <c r="K24" s="5" t="s">
        <v>634</v>
      </c>
      <c r="L24" s="17" t="str">
        <f t="shared" si="0"/>
        <v/>
      </c>
    </row>
    <row r="25" spans="1:12" ht="55" customHeight="1">
      <c r="A25" s="6" t="s">
        <v>635</v>
      </c>
      <c r="B25" s="6" t="s">
        <v>21</v>
      </c>
      <c r="C25" s="6" t="s">
        <v>621</v>
      </c>
      <c r="D25" s="6" t="s">
        <v>636</v>
      </c>
      <c r="E25" s="18">
        <v>400</v>
      </c>
      <c r="F25" s="18">
        <v>1000</v>
      </c>
      <c r="G25" s="6" t="s">
        <v>637</v>
      </c>
      <c r="H25" s="6" t="s">
        <v>594</v>
      </c>
      <c r="I25" s="6" t="s">
        <v>638</v>
      </c>
      <c r="J25" s="6" t="s">
        <v>577</v>
      </c>
      <c r="K25" s="6" t="s">
        <v>639</v>
      </c>
      <c r="L25" s="19">
        <f t="shared" si="0"/>
        <v>600</v>
      </c>
    </row>
    <row r="26" spans="1:12" ht="55" customHeight="1">
      <c r="A26" s="5" t="s">
        <v>640</v>
      </c>
      <c r="B26" s="5" t="s">
        <v>26</v>
      </c>
      <c r="C26" s="5" t="s">
        <v>641</v>
      </c>
      <c r="D26" s="5" t="s">
        <v>642</v>
      </c>
      <c r="E26" s="16">
        <v>300</v>
      </c>
      <c r="F26" s="16">
        <v>1000</v>
      </c>
      <c r="G26" s="5" t="s">
        <v>623</v>
      </c>
      <c r="H26" s="5" t="s">
        <v>581</v>
      </c>
      <c r="I26" s="5" t="s">
        <v>643</v>
      </c>
      <c r="J26" s="5" t="s">
        <v>583</v>
      </c>
      <c r="K26" s="5" t="s">
        <v>584</v>
      </c>
      <c r="L26" s="17">
        <f t="shared" si="0"/>
        <v>700</v>
      </c>
    </row>
    <row r="27" spans="1:12" ht="55" customHeight="1">
      <c r="A27" s="6" t="s">
        <v>644</v>
      </c>
      <c r="B27" s="6" t="s">
        <v>31</v>
      </c>
      <c r="C27" s="6" t="s">
        <v>621</v>
      </c>
      <c r="D27" s="6" t="s">
        <v>645</v>
      </c>
      <c r="E27" s="18">
        <v>400</v>
      </c>
      <c r="F27" s="18">
        <v>600</v>
      </c>
      <c r="G27" s="6" t="s">
        <v>646</v>
      </c>
      <c r="H27" s="6" t="s">
        <v>561</v>
      </c>
      <c r="I27" s="6" t="s">
        <v>647</v>
      </c>
      <c r="J27" s="6" t="s">
        <v>587</v>
      </c>
      <c r="K27" s="6" t="s">
        <v>616</v>
      </c>
      <c r="L27" s="19">
        <f t="shared" si="0"/>
        <v>200</v>
      </c>
    </row>
    <row r="28" spans="1:12" ht="55" customHeight="1">
      <c r="A28" s="5" t="s">
        <v>648</v>
      </c>
      <c r="B28" s="5" t="s">
        <v>35</v>
      </c>
      <c r="C28" s="5" t="s">
        <v>621</v>
      </c>
      <c r="D28" s="5" t="s">
        <v>649</v>
      </c>
      <c r="E28" s="16">
        <v>300</v>
      </c>
      <c r="F28" s="16">
        <v>1000</v>
      </c>
      <c r="G28" s="5" t="s">
        <v>650</v>
      </c>
      <c r="H28" s="5" t="s">
        <v>226</v>
      </c>
      <c r="I28" s="5" t="s">
        <v>651</v>
      </c>
      <c r="J28" s="5" t="s">
        <v>591</v>
      </c>
      <c r="K28" s="5" t="s">
        <v>652</v>
      </c>
      <c r="L28" s="17">
        <f t="shared" si="0"/>
        <v>700</v>
      </c>
    </row>
    <row r="29" spans="1:12" ht="55" customHeight="1">
      <c r="A29" s="6" t="s">
        <v>653</v>
      </c>
      <c r="B29" s="6" t="s">
        <v>39</v>
      </c>
      <c r="C29" s="6" t="s">
        <v>621</v>
      </c>
      <c r="D29" s="6" t="s">
        <v>654</v>
      </c>
      <c r="E29" s="18">
        <v>400</v>
      </c>
      <c r="F29" s="18">
        <v>800</v>
      </c>
      <c r="G29" s="6" t="s">
        <v>655</v>
      </c>
      <c r="H29" s="6" t="s">
        <v>594</v>
      </c>
      <c r="I29" s="6" t="s">
        <v>562</v>
      </c>
      <c r="J29" s="6" t="s">
        <v>596</v>
      </c>
      <c r="K29" s="6" t="s">
        <v>616</v>
      </c>
      <c r="L29" s="19">
        <f t="shared" si="0"/>
        <v>400</v>
      </c>
    </row>
    <row r="30" spans="1:12" ht="55" customHeight="1">
      <c r="A30" s="5" t="s">
        <v>656</v>
      </c>
      <c r="B30" s="5" t="s">
        <v>7</v>
      </c>
      <c r="C30" s="5" t="s">
        <v>657</v>
      </c>
      <c r="D30" s="5" t="s">
        <v>658</v>
      </c>
      <c r="E30" s="16">
        <v>50</v>
      </c>
      <c r="F30" s="16">
        <v>200</v>
      </c>
      <c r="G30" s="5" t="s">
        <v>659</v>
      </c>
      <c r="H30" s="5" t="s">
        <v>660</v>
      </c>
      <c r="I30" s="5" t="s">
        <v>661</v>
      </c>
      <c r="J30" s="5" t="s">
        <v>563</v>
      </c>
      <c r="K30" s="5" t="s">
        <v>662</v>
      </c>
      <c r="L30" s="17">
        <f t="shared" si="0"/>
        <v>150</v>
      </c>
    </row>
    <row r="31" spans="1:12" ht="55" customHeight="1">
      <c r="A31" s="6" t="s">
        <v>663</v>
      </c>
      <c r="B31" s="6" t="s">
        <v>12</v>
      </c>
      <c r="C31" s="6" t="s">
        <v>657</v>
      </c>
      <c r="D31" s="6" t="s">
        <v>664</v>
      </c>
      <c r="E31" s="18"/>
      <c r="F31" s="18">
        <v>100</v>
      </c>
      <c r="G31" s="6" t="s">
        <v>13</v>
      </c>
      <c r="H31" s="6" t="s">
        <v>660</v>
      </c>
      <c r="I31" s="6" t="s">
        <v>665</v>
      </c>
      <c r="J31" s="6" t="s">
        <v>568</v>
      </c>
      <c r="K31" s="6" t="s">
        <v>666</v>
      </c>
      <c r="L31" s="19" t="str">
        <f t="shared" si="0"/>
        <v/>
      </c>
    </row>
    <row r="32" spans="1:12" ht="55" customHeight="1">
      <c r="A32" s="5" t="s">
        <v>667</v>
      </c>
      <c r="B32" s="5" t="s">
        <v>16</v>
      </c>
      <c r="C32" s="5" t="s">
        <v>657</v>
      </c>
      <c r="D32" s="5" t="s">
        <v>668</v>
      </c>
      <c r="E32" s="16"/>
      <c r="F32" s="16">
        <v>150</v>
      </c>
      <c r="G32" s="5" t="s">
        <v>18</v>
      </c>
      <c r="H32" s="5" t="s">
        <v>669</v>
      </c>
      <c r="I32" s="5" t="s">
        <v>670</v>
      </c>
      <c r="J32" s="5" t="s">
        <v>573</v>
      </c>
      <c r="K32" s="5" t="s">
        <v>671</v>
      </c>
      <c r="L32" s="17" t="str">
        <f t="shared" si="0"/>
        <v/>
      </c>
    </row>
    <row r="33" spans="1:12" ht="55" customHeight="1">
      <c r="A33" s="6" t="s">
        <v>672</v>
      </c>
      <c r="B33" s="6" t="s">
        <v>21</v>
      </c>
      <c r="C33" s="6" t="s">
        <v>657</v>
      </c>
      <c r="D33" s="6" t="s">
        <v>673</v>
      </c>
      <c r="E33" s="18"/>
      <c r="F33" s="18">
        <v>60</v>
      </c>
      <c r="G33" s="6" t="s">
        <v>23</v>
      </c>
      <c r="H33" s="6" t="s">
        <v>660</v>
      </c>
      <c r="I33" s="6" t="s">
        <v>674</v>
      </c>
      <c r="J33" s="6" t="s">
        <v>577</v>
      </c>
      <c r="K33" s="6" t="s">
        <v>675</v>
      </c>
      <c r="L33" s="19" t="str">
        <f t="shared" si="0"/>
        <v/>
      </c>
    </row>
    <row r="34" spans="1:12" ht="55" customHeight="1">
      <c r="A34" s="5" t="s">
        <v>676</v>
      </c>
      <c r="B34" s="5" t="s">
        <v>26</v>
      </c>
      <c r="C34" s="5" t="s">
        <v>657</v>
      </c>
      <c r="D34" s="5" t="s">
        <v>677</v>
      </c>
      <c r="E34" s="16">
        <v>100</v>
      </c>
      <c r="F34" s="16">
        <v>150</v>
      </c>
      <c r="G34" s="5" t="s">
        <v>28</v>
      </c>
      <c r="H34" s="5" t="s">
        <v>660</v>
      </c>
      <c r="I34" s="5" t="s">
        <v>678</v>
      </c>
      <c r="J34" s="5" t="s">
        <v>583</v>
      </c>
      <c r="K34" s="5" t="s">
        <v>679</v>
      </c>
      <c r="L34" s="17">
        <f t="shared" si="0"/>
        <v>50</v>
      </c>
    </row>
    <row r="35" spans="1:12" ht="55" customHeight="1">
      <c r="A35" s="6" t="s">
        <v>680</v>
      </c>
      <c r="B35" s="6" t="s">
        <v>31</v>
      </c>
      <c r="C35" s="6" t="s">
        <v>657</v>
      </c>
      <c r="D35" s="6" t="s">
        <v>673</v>
      </c>
      <c r="E35" s="18"/>
      <c r="F35" s="18">
        <v>100</v>
      </c>
      <c r="G35" s="6" t="s">
        <v>13</v>
      </c>
      <c r="H35" s="6" t="s">
        <v>660</v>
      </c>
      <c r="I35" s="6" t="s">
        <v>681</v>
      </c>
      <c r="J35" s="6" t="s">
        <v>587</v>
      </c>
      <c r="K35" s="6" t="s">
        <v>682</v>
      </c>
      <c r="L35" s="19" t="str">
        <f t="shared" si="0"/>
        <v/>
      </c>
    </row>
    <row r="36" spans="1:12" ht="55" customHeight="1">
      <c r="A36" s="5" t="s">
        <v>683</v>
      </c>
      <c r="B36" s="5" t="s">
        <v>35</v>
      </c>
      <c r="C36" s="5" t="s">
        <v>657</v>
      </c>
      <c r="D36" s="5" t="s">
        <v>673</v>
      </c>
      <c r="E36" s="16">
        <v>50</v>
      </c>
      <c r="F36" s="16">
        <v>150</v>
      </c>
      <c r="G36" s="5" t="s">
        <v>36</v>
      </c>
      <c r="H36" s="5" t="s">
        <v>669</v>
      </c>
      <c r="I36" s="5" t="s">
        <v>684</v>
      </c>
      <c r="J36" s="5" t="s">
        <v>591</v>
      </c>
      <c r="K36" s="5" t="s">
        <v>685</v>
      </c>
      <c r="L36" s="17">
        <f t="shared" si="0"/>
        <v>100</v>
      </c>
    </row>
    <row r="37" spans="1:12" ht="55" customHeight="1">
      <c r="A37" s="6" t="s">
        <v>686</v>
      </c>
      <c r="B37" s="6" t="s">
        <v>39</v>
      </c>
      <c r="C37" s="6" t="s">
        <v>657</v>
      </c>
      <c r="D37" s="6" t="s">
        <v>673</v>
      </c>
      <c r="E37" s="18"/>
      <c r="F37" s="18">
        <v>100</v>
      </c>
      <c r="G37" s="6" t="s">
        <v>13</v>
      </c>
      <c r="H37" s="6" t="s">
        <v>687</v>
      </c>
      <c r="I37" s="6" t="s">
        <v>688</v>
      </c>
      <c r="J37" s="6" t="s">
        <v>596</v>
      </c>
      <c r="K37" s="6" t="s">
        <v>689</v>
      </c>
      <c r="L37" s="19" t="str">
        <f t="shared" si="0"/>
        <v/>
      </c>
    </row>
    <row r="38" spans="1:12" ht="55" customHeight="1">
      <c r="A38" s="5" t="s">
        <v>690</v>
      </c>
      <c r="B38" s="5" t="s">
        <v>12</v>
      </c>
      <c r="C38" s="5" t="s">
        <v>691</v>
      </c>
      <c r="D38" s="5" t="s">
        <v>692</v>
      </c>
      <c r="E38" s="16"/>
      <c r="F38" s="16">
        <v>50</v>
      </c>
      <c r="G38" s="5" t="s">
        <v>693</v>
      </c>
      <c r="H38" s="5" t="s">
        <v>188</v>
      </c>
      <c r="I38" s="5" t="s">
        <v>694</v>
      </c>
      <c r="J38" s="5" t="s">
        <v>568</v>
      </c>
      <c r="K38" s="5" t="s">
        <v>569</v>
      </c>
      <c r="L38" s="17" t="str">
        <f t="shared" ref="L38:L57" si="1">IF(AND(ISNUMBER(E38),ISNUMBER(F38)),F38-E38,"")</f>
        <v/>
      </c>
    </row>
    <row r="39" spans="1:12" ht="55" customHeight="1">
      <c r="A39" s="6" t="s">
        <v>695</v>
      </c>
      <c r="B39" s="6" t="s">
        <v>16</v>
      </c>
      <c r="C39" s="6" t="s">
        <v>696</v>
      </c>
      <c r="D39" s="6" t="s">
        <v>559</v>
      </c>
      <c r="E39" s="18">
        <v>160</v>
      </c>
      <c r="F39" s="18">
        <v>160</v>
      </c>
      <c r="G39" s="6" t="s">
        <v>697</v>
      </c>
      <c r="H39" s="6" t="s">
        <v>698</v>
      </c>
      <c r="I39" s="6" t="s">
        <v>699</v>
      </c>
      <c r="J39" s="6" t="s">
        <v>573</v>
      </c>
      <c r="K39" s="6" t="s">
        <v>700</v>
      </c>
      <c r="L39" s="19">
        <f t="shared" si="1"/>
        <v>0</v>
      </c>
    </row>
    <row r="40" spans="1:12" ht="55" customHeight="1">
      <c r="A40" s="5" t="s">
        <v>701</v>
      </c>
      <c r="B40" s="5" t="s">
        <v>16</v>
      </c>
      <c r="C40" s="5" t="s">
        <v>696</v>
      </c>
      <c r="D40" s="5" t="s">
        <v>541</v>
      </c>
      <c r="E40" s="16">
        <v>40</v>
      </c>
      <c r="F40" s="16">
        <v>40</v>
      </c>
      <c r="G40" s="5" t="s">
        <v>702</v>
      </c>
      <c r="H40" s="5" t="s">
        <v>698</v>
      </c>
      <c r="I40" s="5" t="s">
        <v>703</v>
      </c>
      <c r="J40" s="5" t="s">
        <v>573</v>
      </c>
      <c r="K40" s="5" t="s">
        <v>700</v>
      </c>
      <c r="L40" s="17">
        <f t="shared" si="1"/>
        <v>0</v>
      </c>
    </row>
    <row r="41" spans="1:12" ht="55" customHeight="1">
      <c r="A41" s="6" t="s">
        <v>704</v>
      </c>
      <c r="B41" s="6" t="s">
        <v>21</v>
      </c>
      <c r="C41" s="6" t="s">
        <v>691</v>
      </c>
      <c r="D41" s="6" t="s">
        <v>705</v>
      </c>
      <c r="E41" s="18">
        <v>60</v>
      </c>
      <c r="F41" s="18">
        <v>60</v>
      </c>
      <c r="G41" s="6" t="s">
        <v>706</v>
      </c>
      <c r="H41" s="6" t="s">
        <v>594</v>
      </c>
      <c r="I41" s="6" t="s">
        <v>707</v>
      </c>
      <c r="J41" s="6" t="s">
        <v>577</v>
      </c>
      <c r="K41" s="6" t="s">
        <v>708</v>
      </c>
      <c r="L41" s="19">
        <f t="shared" si="1"/>
        <v>0</v>
      </c>
    </row>
    <row r="42" spans="1:12" ht="55" customHeight="1">
      <c r="A42" s="5" t="s">
        <v>709</v>
      </c>
      <c r="B42" s="5" t="s">
        <v>21</v>
      </c>
      <c r="C42" s="5" t="s">
        <v>710</v>
      </c>
      <c r="D42" s="5" t="s">
        <v>711</v>
      </c>
      <c r="E42" s="16">
        <v>60</v>
      </c>
      <c r="F42" s="16">
        <v>60</v>
      </c>
      <c r="G42" s="5" t="s">
        <v>706</v>
      </c>
      <c r="H42" s="5" t="s">
        <v>594</v>
      </c>
      <c r="I42" s="5" t="s">
        <v>707</v>
      </c>
      <c r="J42" s="5" t="s">
        <v>577</v>
      </c>
      <c r="K42" s="5" t="s">
        <v>712</v>
      </c>
      <c r="L42" s="17">
        <f t="shared" si="1"/>
        <v>0</v>
      </c>
    </row>
    <row r="43" spans="1:12" ht="55" customHeight="1">
      <c r="A43" s="6" t="s">
        <v>713</v>
      </c>
      <c r="B43" s="6" t="s">
        <v>21</v>
      </c>
      <c r="C43" s="6" t="s">
        <v>714</v>
      </c>
      <c r="D43" s="6" t="s">
        <v>715</v>
      </c>
      <c r="E43" s="18">
        <v>60</v>
      </c>
      <c r="F43" s="18">
        <v>60</v>
      </c>
      <c r="G43" s="6" t="s">
        <v>706</v>
      </c>
      <c r="H43" s="6" t="s">
        <v>594</v>
      </c>
      <c r="I43" s="6" t="s">
        <v>707</v>
      </c>
      <c r="J43" s="6" t="s">
        <v>577</v>
      </c>
      <c r="K43" s="6" t="s">
        <v>716</v>
      </c>
      <c r="L43" s="19">
        <f t="shared" si="1"/>
        <v>0</v>
      </c>
    </row>
    <row r="44" spans="1:12" ht="55" customHeight="1">
      <c r="A44" s="5" t="s">
        <v>717</v>
      </c>
      <c r="B44" s="5" t="s">
        <v>21</v>
      </c>
      <c r="C44" s="5" t="s">
        <v>718</v>
      </c>
      <c r="D44" s="5" t="s">
        <v>719</v>
      </c>
      <c r="E44" s="16">
        <v>60</v>
      </c>
      <c r="F44" s="16">
        <v>60</v>
      </c>
      <c r="G44" s="5" t="s">
        <v>706</v>
      </c>
      <c r="H44" s="5" t="s">
        <v>594</v>
      </c>
      <c r="I44" s="5" t="s">
        <v>720</v>
      </c>
      <c r="J44" s="5" t="s">
        <v>577</v>
      </c>
      <c r="K44" s="5" t="s">
        <v>611</v>
      </c>
      <c r="L44" s="17">
        <f t="shared" si="1"/>
        <v>0</v>
      </c>
    </row>
    <row r="45" spans="1:12" ht="55" customHeight="1">
      <c r="A45" s="6" t="s">
        <v>721</v>
      </c>
      <c r="B45" s="6" t="s">
        <v>21</v>
      </c>
      <c r="C45" s="6" t="s">
        <v>722</v>
      </c>
      <c r="D45" s="6" t="s">
        <v>723</v>
      </c>
      <c r="E45" s="18">
        <v>300</v>
      </c>
      <c r="F45" s="18">
        <v>400</v>
      </c>
      <c r="G45" s="6" t="s">
        <v>724</v>
      </c>
      <c r="H45" s="6" t="s">
        <v>594</v>
      </c>
      <c r="I45" s="6" t="s">
        <v>725</v>
      </c>
      <c r="J45" s="6" t="s">
        <v>577</v>
      </c>
      <c r="K45" s="6" t="s">
        <v>639</v>
      </c>
      <c r="L45" s="19">
        <f t="shared" si="1"/>
        <v>100</v>
      </c>
    </row>
    <row r="46" spans="1:12" ht="55" customHeight="1">
      <c r="A46" s="5" t="s">
        <v>726</v>
      </c>
      <c r="B46" s="5" t="s">
        <v>26</v>
      </c>
      <c r="C46" s="5" t="s">
        <v>710</v>
      </c>
      <c r="D46" s="5" t="s">
        <v>711</v>
      </c>
      <c r="E46" s="16">
        <v>80</v>
      </c>
      <c r="F46" s="16">
        <v>80</v>
      </c>
      <c r="G46" s="5" t="s">
        <v>727</v>
      </c>
      <c r="H46" s="5" t="s">
        <v>581</v>
      </c>
      <c r="I46" s="5" t="s">
        <v>728</v>
      </c>
      <c r="J46" s="5" t="s">
        <v>583</v>
      </c>
      <c r="K46" s="5" t="s">
        <v>584</v>
      </c>
      <c r="L46" s="17">
        <f t="shared" si="1"/>
        <v>0</v>
      </c>
    </row>
    <row r="47" spans="1:12" ht="55" customHeight="1">
      <c r="A47" s="6" t="s">
        <v>729</v>
      </c>
      <c r="B47" s="6" t="s">
        <v>31</v>
      </c>
      <c r="C47" s="6" t="s">
        <v>730</v>
      </c>
      <c r="D47" s="6" t="s">
        <v>731</v>
      </c>
      <c r="E47" s="18">
        <v>1000</v>
      </c>
      <c r="F47" s="18">
        <v>5000</v>
      </c>
      <c r="G47" s="6" t="s">
        <v>732</v>
      </c>
      <c r="H47" s="6" t="s">
        <v>561</v>
      </c>
      <c r="I47" s="6" t="s">
        <v>733</v>
      </c>
      <c r="J47" s="6" t="s">
        <v>587</v>
      </c>
      <c r="K47" s="6" t="s">
        <v>734</v>
      </c>
      <c r="L47" s="19">
        <f t="shared" si="1"/>
        <v>4000</v>
      </c>
    </row>
    <row r="48" spans="1:12" ht="55" customHeight="1">
      <c r="A48" s="5" t="s">
        <v>735</v>
      </c>
      <c r="B48" s="5" t="s">
        <v>39</v>
      </c>
      <c r="C48" s="5" t="s">
        <v>641</v>
      </c>
      <c r="D48" s="5" t="s">
        <v>736</v>
      </c>
      <c r="E48" s="16"/>
      <c r="F48" s="16">
        <v>300</v>
      </c>
      <c r="G48" s="5" t="s">
        <v>737</v>
      </c>
      <c r="H48" s="5" t="s">
        <v>594</v>
      </c>
      <c r="I48" s="5" t="s">
        <v>738</v>
      </c>
      <c r="J48" s="5" t="s">
        <v>596</v>
      </c>
      <c r="K48" s="5" t="s">
        <v>597</v>
      </c>
      <c r="L48" s="17" t="str">
        <f t="shared" si="1"/>
        <v/>
      </c>
    </row>
    <row r="49" spans="1:12" ht="55" customHeight="1">
      <c r="A49" s="6" t="s">
        <v>739</v>
      </c>
      <c r="B49" s="6" t="s">
        <v>39</v>
      </c>
      <c r="C49" s="6" t="s">
        <v>714</v>
      </c>
      <c r="D49" s="6" t="s">
        <v>715</v>
      </c>
      <c r="E49" s="18">
        <v>50</v>
      </c>
      <c r="F49" s="18">
        <v>100</v>
      </c>
      <c r="G49" s="6" t="s">
        <v>619</v>
      </c>
      <c r="H49" s="6" t="s">
        <v>594</v>
      </c>
      <c r="I49" s="6" t="s">
        <v>740</v>
      </c>
      <c r="J49" s="6" t="s">
        <v>596</v>
      </c>
      <c r="K49" s="6" t="s">
        <v>741</v>
      </c>
      <c r="L49" s="19">
        <f t="shared" si="1"/>
        <v>50</v>
      </c>
    </row>
    <row r="50" spans="1:12" ht="55" customHeight="1">
      <c r="A50" s="5" t="s">
        <v>742</v>
      </c>
      <c r="B50" s="5" t="s">
        <v>7</v>
      </c>
      <c r="C50" s="5" t="s">
        <v>743</v>
      </c>
      <c r="D50" s="5" t="s">
        <v>744</v>
      </c>
      <c r="E50" s="16"/>
      <c r="F50" s="16">
        <v>1000</v>
      </c>
      <c r="G50" s="5" t="s">
        <v>745</v>
      </c>
      <c r="H50" s="5" t="s">
        <v>746</v>
      </c>
      <c r="I50" s="5" t="s">
        <v>747</v>
      </c>
      <c r="J50" s="5" t="s">
        <v>563</v>
      </c>
      <c r="K50" s="5" t="s">
        <v>564</v>
      </c>
      <c r="L50" s="17" t="str">
        <f t="shared" si="1"/>
        <v/>
      </c>
    </row>
    <row r="51" spans="1:12" ht="55" customHeight="1">
      <c r="A51" s="6" t="s">
        <v>748</v>
      </c>
      <c r="B51" s="6" t="s">
        <v>12</v>
      </c>
      <c r="C51" s="6" t="s">
        <v>743</v>
      </c>
      <c r="D51" s="6" t="s">
        <v>749</v>
      </c>
      <c r="E51" s="18"/>
      <c r="F51" s="18">
        <v>200</v>
      </c>
      <c r="G51" s="6" t="s">
        <v>750</v>
      </c>
      <c r="H51" s="6" t="s">
        <v>746</v>
      </c>
      <c r="I51" s="6" t="s">
        <v>751</v>
      </c>
      <c r="J51" s="6" t="s">
        <v>568</v>
      </c>
      <c r="K51" s="6" t="s">
        <v>569</v>
      </c>
      <c r="L51" s="19" t="str">
        <f t="shared" si="1"/>
        <v/>
      </c>
    </row>
    <row r="52" spans="1:12" ht="55" customHeight="1">
      <c r="A52" s="5" t="s">
        <v>752</v>
      </c>
      <c r="B52" s="5" t="s">
        <v>12</v>
      </c>
      <c r="C52" s="5" t="s">
        <v>743</v>
      </c>
      <c r="D52" s="5" t="s">
        <v>744</v>
      </c>
      <c r="E52" s="16"/>
      <c r="F52" s="16">
        <v>1000</v>
      </c>
      <c r="G52" s="5" t="s">
        <v>745</v>
      </c>
      <c r="H52" s="5" t="s">
        <v>746</v>
      </c>
      <c r="I52" s="5" t="s">
        <v>753</v>
      </c>
      <c r="J52" s="5" t="s">
        <v>568</v>
      </c>
      <c r="K52" s="5" t="s">
        <v>754</v>
      </c>
      <c r="L52" s="17" t="str">
        <f t="shared" si="1"/>
        <v/>
      </c>
    </row>
    <row r="53" spans="1:12" ht="55" customHeight="1">
      <c r="A53" s="6" t="s">
        <v>755</v>
      </c>
      <c r="B53" s="6" t="s">
        <v>12</v>
      </c>
      <c r="C53" s="6" t="s">
        <v>743</v>
      </c>
      <c r="D53" s="6" t="s">
        <v>756</v>
      </c>
      <c r="E53" s="18"/>
      <c r="F53" s="18">
        <v>200</v>
      </c>
      <c r="G53" s="6" t="s">
        <v>750</v>
      </c>
      <c r="H53" s="6" t="s">
        <v>746</v>
      </c>
      <c r="I53" s="6" t="s">
        <v>757</v>
      </c>
      <c r="J53" s="6" t="s">
        <v>568</v>
      </c>
      <c r="K53" s="6" t="s">
        <v>758</v>
      </c>
      <c r="L53" s="19" t="str">
        <f t="shared" si="1"/>
        <v/>
      </c>
    </row>
    <row r="54" spans="1:12" ht="55" customHeight="1">
      <c r="A54" s="5" t="s">
        <v>759</v>
      </c>
      <c r="B54" s="5" t="s">
        <v>21</v>
      </c>
      <c r="C54" s="5" t="s">
        <v>743</v>
      </c>
      <c r="D54" s="5" t="s">
        <v>744</v>
      </c>
      <c r="E54" s="16"/>
      <c r="F54" s="16">
        <v>1000</v>
      </c>
      <c r="G54" s="5" t="s">
        <v>745</v>
      </c>
      <c r="H54" s="5" t="s">
        <v>746</v>
      </c>
      <c r="I54" s="5" t="s">
        <v>760</v>
      </c>
      <c r="J54" s="5" t="s">
        <v>577</v>
      </c>
      <c r="K54" s="5" t="s">
        <v>761</v>
      </c>
      <c r="L54" s="17" t="str">
        <f t="shared" si="1"/>
        <v/>
      </c>
    </row>
    <row r="55" spans="1:12" ht="55" customHeight="1">
      <c r="A55" s="6" t="s">
        <v>762</v>
      </c>
      <c r="B55" s="6" t="s">
        <v>26</v>
      </c>
      <c r="C55" s="6" t="s">
        <v>743</v>
      </c>
      <c r="D55" s="6" t="s">
        <v>763</v>
      </c>
      <c r="E55" s="18"/>
      <c r="F55" s="18">
        <v>2000</v>
      </c>
      <c r="G55" s="6" t="s">
        <v>764</v>
      </c>
      <c r="H55" s="6" t="s">
        <v>746</v>
      </c>
      <c r="I55" s="6" t="s">
        <v>765</v>
      </c>
      <c r="J55" s="6" t="s">
        <v>583</v>
      </c>
      <c r="K55" s="6" t="s">
        <v>766</v>
      </c>
      <c r="L55" s="19" t="str">
        <f t="shared" si="1"/>
        <v/>
      </c>
    </row>
    <row r="56" spans="1:12" ht="55" customHeight="1">
      <c r="A56" s="5" t="s">
        <v>767</v>
      </c>
      <c r="B56" s="5" t="s">
        <v>26</v>
      </c>
      <c r="C56" s="5" t="s">
        <v>743</v>
      </c>
      <c r="D56" s="5" t="s">
        <v>768</v>
      </c>
      <c r="E56" s="16"/>
      <c r="F56" s="16">
        <v>100</v>
      </c>
      <c r="G56" s="5" t="s">
        <v>13</v>
      </c>
      <c r="H56" s="5" t="s">
        <v>746</v>
      </c>
      <c r="I56" s="5" t="s">
        <v>769</v>
      </c>
      <c r="J56" s="5" t="s">
        <v>583</v>
      </c>
      <c r="K56" s="5" t="s">
        <v>766</v>
      </c>
      <c r="L56" s="17" t="str">
        <f t="shared" si="1"/>
        <v/>
      </c>
    </row>
    <row r="57" spans="1:12" ht="55" customHeight="1">
      <c r="A57" s="6" t="s">
        <v>770</v>
      </c>
      <c r="B57" s="6" t="s">
        <v>39</v>
      </c>
      <c r="C57" s="6" t="s">
        <v>743</v>
      </c>
      <c r="D57" s="6" t="s">
        <v>768</v>
      </c>
      <c r="E57" s="18"/>
      <c r="F57" s="18">
        <v>200</v>
      </c>
      <c r="G57" s="6" t="s">
        <v>750</v>
      </c>
      <c r="H57" s="6" t="s">
        <v>746</v>
      </c>
      <c r="I57" s="6" t="s">
        <v>771</v>
      </c>
      <c r="J57" s="6" t="s">
        <v>596</v>
      </c>
      <c r="K57" s="6" t="s">
        <v>772</v>
      </c>
      <c r="L57" s="19" t="str">
        <f t="shared" si="1"/>
        <v/>
      </c>
    </row>
    <row r="58" spans="1:12" ht="25" customHeight="1">
      <c r="A58" s="1"/>
      <c r="B58" s="1"/>
      <c r="C58" s="1"/>
      <c r="D58" s="1"/>
      <c r="E58" s="1"/>
      <c r="F58" s="1"/>
      <c r="G58" s="1"/>
      <c r="H58" s="1"/>
      <c r="I58" s="1"/>
      <c r="J58" s="1"/>
      <c r="K58" s="1"/>
      <c r="L58" s="1"/>
    </row>
    <row r="59" spans="1:12" ht="25" customHeight="1">
      <c r="A59" s="1"/>
      <c r="B59" s="1"/>
      <c r="C59" s="1"/>
      <c r="D59" s="1"/>
      <c r="E59" s="1"/>
      <c r="F59" s="1"/>
      <c r="G59" s="1"/>
      <c r="H59" s="1"/>
      <c r="I59" s="1"/>
      <c r="J59" s="1"/>
      <c r="K59" s="1"/>
      <c r="L59" s="1"/>
    </row>
    <row r="60" spans="1:12" ht="25" customHeight="1">
      <c r="A60" s="1"/>
      <c r="B60" s="1"/>
      <c r="C60" s="1"/>
      <c r="D60" s="1"/>
      <c r="E60" s="1"/>
      <c r="F60" s="1"/>
      <c r="G60" s="1"/>
      <c r="H60" s="1"/>
      <c r="I60" s="1"/>
      <c r="J60" s="1"/>
      <c r="K60" s="1"/>
      <c r="L60" s="1"/>
    </row>
    <row r="61" spans="1:12" ht="25" customHeight="1">
      <c r="A61" s="1"/>
      <c r="B61" s="1"/>
      <c r="C61" s="1"/>
      <c r="D61" s="1"/>
      <c r="E61" s="1"/>
      <c r="F61" s="1"/>
      <c r="G61" s="1"/>
      <c r="H61" s="1"/>
      <c r="I61" s="1"/>
      <c r="J61" s="1"/>
      <c r="K61" s="1"/>
      <c r="L61" s="1"/>
    </row>
    <row r="62" spans="1:12" ht="25" customHeight="1">
      <c r="A62" s="1"/>
      <c r="B62" s="1"/>
      <c r="C62" s="1"/>
      <c r="D62" s="1"/>
      <c r="E62" s="1"/>
      <c r="F62" s="1"/>
      <c r="G62" s="1"/>
      <c r="H62" s="1"/>
      <c r="I62" s="1"/>
      <c r="J62" s="1"/>
      <c r="K62" s="1"/>
      <c r="L62" s="1"/>
    </row>
    <row r="63" spans="1:12" ht="25" customHeight="1">
      <c r="A63" s="1"/>
      <c r="B63" s="1"/>
      <c r="C63" s="1"/>
      <c r="D63" s="1"/>
      <c r="E63" s="1"/>
      <c r="F63" s="1"/>
      <c r="G63" s="1"/>
      <c r="H63" s="1"/>
      <c r="I63" s="1"/>
      <c r="J63" s="1"/>
      <c r="K63" s="1"/>
      <c r="L63" s="1"/>
    </row>
    <row r="64" spans="1:12" ht="25" customHeight="1">
      <c r="A64" s="1"/>
      <c r="B64" s="1"/>
      <c r="C64" s="1"/>
      <c r="D64" s="1"/>
      <c r="E64" s="1"/>
      <c r="F64" s="1"/>
      <c r="G64" s="1"/>
      <c r="H64" s="1"/>
      <c r="I64" s="1"/>
      <c r="J64" s="1"/>
      <c r="K64" s="1"/>
      <c r="L64" s="1"/>
    </row>
    <row r="65" spans="1:12" ht="25" customHeight="1">
      <c r="A65" s="1"/>
      <c r="B65" s="1"/>
      <c r="C65" s="1"/>
      <c r="D65" s="1"/>
      <c r="E65" s="1"/>
      <c r="F65" s="1"/>
      <c r="G65" s="1"/>
      <c r="H65" s="1"/>
      <c r="I65" s="1"/>
      <c r="J65" s="1"/>
      <c r="K65" s="1"/>
      <c r="L65" s="1"/>
    </row>
    <row r="66" spans="1:12" ht="25" customHeight="1">
      <c r="A66" s="1"/>
      <c r="B66" s="1"/>
      <c r="C66" s="1"/>
      <c r="D66" s="1"/>
      <c r="E66" s="1"/>
      <c r="F66" s="1"/>
      <c r="G66" s="1"/>
      <c r="H66" s="1"/>
      <c r="I66" s="1"/>
      <c r="J66" s="1"/>
      <c r="K66" s="1"/>
      <c r="L66" s="1"/>
    </row>
    <row r="67" spans="1:12" ht="25" customHeight="1">
      <c r="A67" s="1"/>
      <c r="B67" s="1"/>
      <c r="C67" s="1"/>
      <c r="D67" s="1"/>
      <c r="E67" s="1"/>
      <c r="F67" s="1"/>
      <c r="G67" s="1"/>
      <c r="H67" s="1"/>
      <c r="I67" s="1"/>
      <c r="J67" s="1"/>
      <c r="K67" s="1"/>
      <c r="L67" s="1"/>
    </row>
    <row r="68" spans="1:12" ht="25" customHeight="1">
      <c r="A68" s="1"/>
      <c r="B68" s="1"/>
      <c r="C68" s="1"/>
      <c r="D68" s="1"/>
      <c r="E68" s="1"/>
      <c r="F68" s="1"/>
      <c r="G68" s="1"/>
      <c r="H68" s="1"/>
      <c r="I68" s="1"/>
      <c r="J68" s="1"/>
      <c r="K68" s="1"/>
      <c r="L68" s="1"/>
    </row>
    <row r="69" spans="1:12" ht="25" customHeight="1">
      <c r="A69" s="1"/>
      <c r="B69" s="1"/>
      <c r="C69" s="1"/>
      <c r="D69" s="1"/>
      <c r="E69" s="1"/>
      <c r="F69" s="1"/>
      <c r="G69" s="1"/>
      <c r="H69" s="1"/>
      <c r="I69" s="1"/>
      <c r="J69" s="1"/>
      <c r="K69" s="1"/>
      <c r="L69" s="1"/>
    </row>
    <row r="70" spans="1:12" ht="25" customHeight="1">
      <c r="A70" s="1"/>
      <c r="B70" s="1"/>
      <c r="C70" s="1"/>
      <c r="D70" s="1"/>
      <c r="E70" s="1"/>
      <c r="F70" s="1"/>
      <c r="G70" s="1"/>
      <c r="H70" s="1"/>
      <c r="I70" s="1"/>
      <c r="J70" s="1"/>
      <c r="K70" s="1"/>
      <c r="L70" s="1"/>
    </row>
  </sheetData>
  <phoneticPr fontId="9" type="noConversion"/>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77"/>
  <sheetViews>
    <sheetView showGridLines="0" zoomScaleNormal="100" workbookViewId="0">
      <pane ySplit="5" topLeftCell="A6" activePane="bottomLeft" state="frozen"/>
      <selection pane="bottomLeft"/>
    </sheetView>
  </sheetViews>
  <sheetFormatPr defaultColWidth="8.6328125" defaultRowHeight="12.5"/>
  <cols>
    <col min="1" max="1" width="15" customWidth="1"/>
    <col min="2" max="2" width="24" customWidth="1"/>
    <col min="3" max="3" width="59" customWidth="1"/>
    <col min="4" max="4" width="48" customWidth="1"/>
    <col min="5" max="5" width="135" customWidth="1"/>
    <col min="6" max="6" width="48" customWidth="1"/>
  </cols>
  <sheetData>
    <row r="1" spans="1:6" ht="25" customHeight="1">
      <c r="A1" s="1"/>
      <c r="B1" s="1"/>
      <c r="C1" s="1"/>
      <c r="D1" s="1"/>
      <c r="E1" s="1"/>
      <c r="F1" s="1"/>
    </row>
    <row r="2" spans="1:6" ht="25" customHeight="1">
      <c r="A2" s="2" t="s">
        <v>773</v>
      </c>
      <c r="B2" s="1"/>
      <c r="C2" s="1"/>
      <c r="D2" s="1"/>
      <c r="E2" s="1"/>
      <c r="F2" s="1"/>
    </row>
    <row r="3" spans="1:6" ht="25" customHeight="1">
      <c r="A3" s="3" t="s">
        <v>774</v>
      </c>
      <c r="B3" s="1"/>
      <c r="C3" s="1"/>
      <c r="D3" s="1"/>
      <c r="E3" s="1"/>
      <c r="F3" s="1"/>
    </row>
    <row r="4" spans="1:6" ht="25" customHeight="1">
      <c r="A4" s="1"/>
      <c r="B4" s="1"/>
      <c r="C4" s="1"/>
      <c r="D4" s="1"/>
      <c r="E4" s="1"/>
      <c r="F4" s="1"/>
    </row>
    <row r="5" spans="1:6" ht="40" customHeight="1">
      <c r="A5" s="4" t="s">
        <v>775</v>
      </c>
      <c r="B5" s="4" t="s">
        <v>2</v>
      </c>
      <c r="C5" s="4" t="s">
        <v>776</v>
      </c>
      <c r="D5" s="4" t="s">
        <v>777</v>
      </c>
      <c r="E5" s="4" t="s">
        <v>778</v>
      </c>
      <c r="F5" s="4" t="s">
        <v>260</v>
      </c>
    </row>
    <row r="6" spans="1:6" ht="57" customHeight="1">
      <c r="A6" s="5" t="s">
        <v>779</v>
      </c>
      <c r="B6" s="5" t="s">
        <v>35</v>
      </c>
      <c r="C6" s="5" t="s">
        <v>591</v>
      </c>
      <c r="D6" s="5" t="s">
        <v>592</v>
      </c>
      <c r="E6" s="5" t="s">
        <v>780</v>
      </c>
      <c r="F6" s="5" t="s">
        <v>781</v>
      </c>
    </row>
    <row r="7" spans="1:6" ht="55" customHeight="1">
      <c r="A7" s="6" t="s">
        <v>779</v>
      </c>
      <c r="B7" s="6" t="s">
        <v>35</v>
      </c>
      <c r="C7" s="6" t="s">
        <v>591</v>
      </c>
      <c r="D7" s="6" t="s">
        <v>782</v>
      </c>
      <c r="E7" s="6" t="s">
        <v>783</v>
      </c>
      <c r="F7" s="6" t="s">
        <v>781</v>
      </c>
    </row>
    <row r="8" spans="1:6" ht="55" customHeight="1">
      <c r="A8" s="5" t="s">
        <v>779</v>
      </c>
      <c r="B8" s="5" t="s">
        <v>35</v>
      </c>
      <c r="C8" s="5" t="s">
        <v>591</v>
      </c>
      <c r="D8" s="5" t="s">
        <v>784</v>
      </c>
      <c r="E8" s="5" t="s">
        <v>785</v>
      </c>
      <c r="F8" s="5" t="s">
        <v>781</v>
      </c>
    </row>
    <row r="9" spans="1:6" ht="55" customHeight="1">
      <c r="A9" s="6" t="s">
        <v>779</v>
      </c>
      <c r="B9" s="6" t="s">
        <v>35</v>
      </c>
      <c r="C9" s="6" t="s">
        <v>591</v>
      </c>
      <c r="D9" s="6" t="s">
        <v>786</v>
      </c>
      <c r="E9" s="6" t="s">
        <v>787</v>
      </c>
      <c r="F9" s="6" t="s">
        <v>781</v>
      </c>
    </row>
    <row r="10" spans="1:6" ht="55" customHeight="1">
      <c r="A10" s="5" t="s">
        <v>788</v>
      </c>
      <c r="B10" s="5" t="s">
        <v>35</v>
      </c>
      <c r="C10" s="5" t="s">
        <v>591</v>
      </c>
      <c r="D10" s="5" t="s">
        <v>789</v>
      </c>
      <c r="E10" s="5" t="s">
        <v>790</v>
      </c>
      <c r="F10" s="5" t="s">
        <v>791</v>
      </c>
    </row>
    <row r="11" spans="1:6" ht="55" customHeight="1">
      <c r="A11" s="6" t="s">
        <v>788</v>
      </c>
      <c r="B11" s="6" t="s">
        <v>35</v>
      </c>
      <c r="C11" s="6" t="s">
        <v>591</v>
      </c>
      <c r="D11" s="6" t="s">
        <v>792</v>
      </c>
      <c r="E11" s="6" t="s">
        <v>793</v>
      </c>
      <c r="F11" s="6" t="s">
        <v>791</v>
      </c>
    </row>
    <row r="12" spans="1:6" ht="55" customHeight="1">
      <c r="A12" s="5" t="s">
        <v>788</v>
      </c>
      <c r="B12" s="5" t="s">
        <v>35</v>
      </c>
      <c r="C12" s="5" t="s">
        <v>591</v>
      </c>
      <c r="D12" s="5" t="s">
        <v>794</v>
      </c>
      <c r="E12" s="5" t="s">
        <v>795</v>
      </c>
      <c r="F12" s="5" t="s">
        <v>791</v>
      </c>
    </row>
    <row r="13" spans="1:6" ht="55" customHeight="1">
      <c r="A13" s="6" t="s">
        <v>788</v>
      </c>
      <c r="B13" s="6" t="s">
        <v>35</v>
      </c>
      <c r="C13" s="6" t="s">
        <v>591</v>
      </c>
      <c r="D13" s="6" t="s">
        <v>796</v>
      </c>
      <c r="E13" s="6" t="s">
        <v>797</v>
      </c>
      <c r="F13" s="6" t="s">
        <v>791</v>
      </c>
    </row>
    <row r="14" spans="1:6" ht="55" customHeight="1">
      <c r="A14" s="5" t="s">
        <v>788</v>
      </c>
      <c r="B14" s="5" t="s">
        <v>35</v>
      </c>
      <c r="C14" s="5" t="s">
        <v>591</v>
      </c>
      <c r="D14" s="5" t="s">
        <v>798</v>
      </c>
      <c r="E14" s="5" t="s">
        <v>799</v>
      </c>
      <c r="F14" s="5" t="s">
        <v>791</v>
      </c>
    </row>
    <row r="15" spans="1:6" ht="55" customHeight="1">
      <c r="A15" s="6" t="s">
        <v>788</v>
      </c>
      <c r="B15" s="6" t="s">
        <v>35</v>
      </c>
      <c r="C15" s="6" t="s">
        <v>591</v>
      </c>
      <c r="D15" s="6" t="s">
        <v>800</v>
      </c>
      <c r="E15" s="6" t="s">
        <v>801</v>
      </c>
      <c r="F15" s="6" t="s">
        <v>791</v>
      </c>
    </row>
    <row r="16" spans="1:6" ht="55" customHeight="1">
      <c r="A16" s="5" t="s">
        <v>788</v>
      </c>
      <c r="B16" s="5" t="s">
        <v>35</v>
      </c>
      <c r="C16" s="5" t="s">
        <v>591</v>
      </c>
      <c r="D16" s="5" t="s">
        <v>802</v>
      </c>
      <c r="E16" s="5" t="s">
        <v>803</v>
      </c>
      <c r="F16" s="5" t="s">
        <v>791</v>
      </c>
    </row>
    <row r="17" spans="1:6" ht="55" customHeight="1">
      <c r="A17" s="6" t="s">
        <v>788</v>
      </c>
      <c r="B17" s="6" t="s">
        <v>35</v>
      </c>
      <c r="C17" s="6" t="s">
        <v>591</v>
      </c>
      <c r="D17" s="6" t="s">
        <v>804</v>
      </c>
      <c r="E17" s="6" t="s">
        <v>805</v>
      </c>
      <c r="F17" s="6" t="s">
        <v>791</v>
      </c>
    </row>
    <row r="18" spans="1:6" ht="55" customHeight="1">
      <c r="A18" s="5" t="s">
        <v>788</v>
      </c>
      <c r="B18" s="5" t="s">
        <v>35</v>
      </c>
      <c r="C18" s="5" t="s">
        <v>591</v>
      </c>
      <c r="D18" s="5" t="s">
        <v>806</v>
      </c>
      <c r="E18" s="5" t="s">
        <v>807</v>
      </c>
      <c r="F18" s="5" t="s">
        <v>791</v>
      </c>
    </row>
    <row r="19" spans="1:6" ht="55" customHeight="1">
      <c r="A19" s="6" t="s">
        <v>788</v>
      </c>
      <c r="B19" s="6" t="s">
        <v>35</v>
      </c>
      <c r="C19" s="6" t="s">
        <v>591</v>
      </c>
      <c r="D19" s="6" t="s">
        <v>808</v>
      </c>
      <c r="E19" s="6" t="s">
        <v>809</v>
      </c>
      <c r="F19" s="6" t="s">
        <v>791</v>
      </c>
    </row>
    <row r="20" spans="1:6" ht="55" customHeight="1">
      <c r="A20" s="5" t="s">
        <v>788</v>
      </c>
      <c r="B20" s="5" t="s">
        <v>35</v>
      </c>
      <c r="C20" s="5" t="s">
        <v>591</v>
      </c>
      <c r="D20" s="5" t="s">
        <v>810</v>
      </c>
      <c r="E20" s="5" t="s">
        <v>811</v>
      </c>
      <c r="F20" s="5" t="s">
        <v>791</v>
      </c>
    </row>
    <row r="21" spans="1:6" ht="55" customHeight="1">
      <c r="A21" s="6" t="s">
        <v>788</v>
      </c>
      <c r="B21" s="6" t="s">
        <v>35</v>
      </c>
      <c r="C21" s="6" t="s">
        <v>591</v>
      </c>
      <c r="D21" s="6" t="s">
        <v>812</v>
      </c>
      <c r="E21" s="6" t="s">
        <v>813</v>
      </c>
      <c r="F21" s="6" t="s">
        <v>791</v>
      </c>
    </row>
    <row r="22" spans="1:6" ht="55" customHeight="1">
      <c r="A22" s="5" t="s">
        <v>788</v>
      </c>
      <c r="B22" s="5" t="s">
        <v>35</v>
      </c>
      <c r="C22" s="5" t="s">
        <v>591</v>
      </c>
      <c r="D22" s="5" t="s">
        <v>814</v>
      </c>
      <c r="E22" s="5" t="s">
        <v>815</v>
      </c>
      <c r="F22" s="5" t="s">
        <v>791</v>
      </c>
    </row>
    <row r="23" spans="1:6" ht="55" customHeight="1">
      <c r="A23" s="6" t="s">
        <v>788</v>
      </c>
      <c r="B23" s="6" t="s">
        <v>35</v>
      </c>
      <c r="C23" s="6" t="s">
        <v>591</v>
      </c>
      <c r="D23" s="6" t="s">
        <v>816</v>
      </c>
      <c r="E23" s="6" t="s">
        <v>817</v>
      </c>
      <c r="F23" s="6" t="s">
        <v>791</v>
      </c>
    </row>
    <row r="24" spans="1:6" ht="55" customHeight="1">
      <c r="A24" s="5" t="s">
        <v>788</v>
      </c>
      <c r="B24" s="5" t="s">
        <v>35</v>
      </c>
      <c r="C24" s="5" t="s">
        <v>591</v>
      </c>
      <c r="D24" s="5" t="s">
        <v>818</v>
      </c>
      <c r="E24" s="5" t="s">
        <v>819</v>
      </c>
      <c r="F24" s="5" t="s">
        <v>791</v>
      </c>
    </row>
    <row r="25" spans="1:6" ht="55" customHeight="1">
      <c r="A25" s="6" t="s">
        <v>779</v>
      </c>
      <c r="B25" s="6" t="s">
        <v>7</v>
      </c>
      <c r="C25" s="6" t="s">
        <v>563</v>
      </c>
      <c r="D25" s="6" t="s">
        <v>564</v>
      </c>
      <c r="E25" s="6" t="s">
        <v>820</v>
      </c>
      <c r="F25" s="6" t="s">
        <v>781</v>
      </c>
    </row>
    <row r="26" spans="1:6" ht="55" customHeight="1">
      <c r="A26" s="5" t="s">
        <v>779</v>
      </c>
      <c r="B26" s="5" t="s">
        <v>7</v>
      </c>
      <c r="C26" s="5" t="s">
        <v>563</v>
      </c>
      <c r="D26" s="5" t="s">
        <v>601</v>
      </c>
      <c r="E26" s="5" t="s">
        <v>821</v>
      </c>
      <c r="F26" s="5" t="s">
        <v>781</v>
      </c>
    </row>
    <row r="27" spans="1:6" ht="55" customHeight="1">
      <c r="A27" s="6" t="s">
        <v>779</v>
      </c>
      <c r="B27" s="6" t="s">
        <v>7</v>
      </c>
      <c r="C27" s="6" t="s">
        <v>563</v>
      </c>
      <c r="D27" s="6" t="s">
        <v>758</v>
      </c>
      <c r="E27" s="6" t="s">
        <v>822</v>
      </c>
      <c r="F27" s="6" t="s">
        <v>781</v>
      </c>
    </row>
    <row r="28" spans="1:6" ht="55" customHeight="1">
      <c r="A28" s="5" t="s">
        <v>779</v>
      </c>
      <c r="B28" s="5" t="s">
        <v>7</v>
      </c>
      <c r="C28" s="5" t="s">
        <v>563</v>
      </c>
      <c r="D28" s="5" t="s">
        <v>823</v>
      </c>
      <c r="E28" s="5" t="s">
        <v>824</v>
      </c>
      <c r="F28" s="5" t="s">
        <v>781</v>
      </c>
    </row>
    <row r="29" spans="1:6" ht="55" customHeight="1">
      <c r="A29" s="6" t="s">
        <v>779</v>
      </c>
      <c r="B29" s="6" t="s">
        <v>7</v>
      </c>
      <c r="C29" s="6" t="s">
        <v>563</v>
      </c>
      <c r="D29" s="6" t="s">
        <v>611</v>
      </c>
      <c r="E29" s="6" t="s">
        <v>825</v>
      </c>
      <c r="F29" s="6" t="s">
        <v>781</v>
      </c>
    </row>
    <row r="30" spans="1:6" ht="55" customHeight="1">
      <c r="A30" s="5" t="s">
        <v>779</v>
      </c>
      <c r="B30" s="5" t="s">
        <v>7</v>
      </c>
      <c r="C30" s="5" t="s">
        <v>563</v>
      </c>
      <c r="D30" s="5" t="s">
        <v>826</v>
      </c>
      <c r="E30" s="5" t="s">
        <v>827</v>
      </c>
      <c r="F30" s="5" t="s">
        <v>781</v>
      </c>
    </row>
    <row r="31" spans="1:6" ht="55" customHeight="1">
      <c r="A31" s="6" t="s">
        <v>779</v>
      </c>
      <c r="B31" s="6" t="s">
        <v>7</v>
      </c>
      <c r="C31" s="6" t="s">
        <v>563</v>
      </c>
      <c r="D31" s="6" t="s">
        <v>828</v>
      </c>
      <c r="E31" s="6" t="s">
        <v>829</v>
      </c>
      <c r="F31" s="6" t="s">
        <v>781</v>
      </c>
    </row>
    <row r="32" spans="1:6" ht="55" customHeight="1">
      <c r="A32" s="5" t="s">
        <v>788</v>
      </c>
      <c r="B32" s="5" t="s">
        <v>7</v>
      </c>
      <c r="C32" s="5" t="s">
        <v>563</v>
      </c>
      <c r="D32" s="5" t="s">
        <v>286</v>
      </c>
      <c r="E32" s="5" t="s">
        <v>286</v>
      </c>
      <c r="F32" s="5" t="s">
        <v>791</v>
      </c>
    </row>
    <row r="33" spans="1:6" ht="55" customHeight="1">
      <c r="A33" s="6" t="s">
        <v>788</v>
      </c>
      <c r="B33" s="6" t="s">
        <v>7</v>
      </c>
      <c r="C33" s="6" t="s">
        <v>563</v>
      </c>
      <c r="D33" s="6" t="s">
        <v>830</v>
      </c>
      <c r="E33" s="6" t="s">
        <v>831</v>
      </c>
      <c r="F33" s="6" t="s">
        <v>791</v>
      </c>
    </row>
    <row r="34" spans="1:6" ht="55" customHeight="1">
      <c r="A34" s="5" t="s">
        <v>788</v>
      </c>
      <c r="B34" s="5" t="s">
        <v>7</v>
      </c>
      <c r="C34" s="5" t="s">
        <v>563</v>
      </c>
      <c r="D34" s="5" t="s">
        <v>832</v>
      </c>
      <c r="E34" s="5" t="s">
        <v>833</v>
      </c>
      <c r="F34" s="5" t="s">
        <v>791</v>
      </c>
    </row>
    <row r="35" spans="1:6" ht="55" customHeight="1">
      <c r="A35" s="6" t="s">
        <v>788</v>
      </c>
      <c r="B35" s="6" t="s">
        <v>7</v>
      </c>
      <c r="C35" s="6" t="s">
        <v>563</v>
      </c>
      <c r="D35" s="6" t="s">
        <v>834</v>
      </c>
      <c r="E35" s="6" t="s">
        <v>835</v>
      </c>
      <c r="F35" s="6" t="s">
        <v>791</v>
      </c>
    </row>
    <row r="36" spans="1:6" ht="55" customHeight="1">
      <c r="A36" s="5" t="s">
        <v>788</v>
      </c>
      <c r="B36" s="5" t="s">
        <v>7</v>
      </c>
      <c r="C36" s="5" t="s">
        <v>563</v>
      </c>
      <c r="D36" s="5" t="s">
        <v>836</v>
      </c>
      <c r="E36" s="5" t="s">
        <v>837</v>
      </c>
      <c r="F36" s="5" t="s">
        <v>791</v>
      </c>
    </row>
    <row r="37" spans="1:6" ht="55" customHeight="1">
      <c r="A37" s="6" t="s">
        <v>788</v>
      </c>
      <c r="B37" s="6" t="s">
        <v>7</v>
      </c>
      <c r="C37" s="6" t="s">
        <v>563</v>
      </c>
      <c r="D37" s="6" t="s">
        <v>832</v>
      </c>
      <c r="E37" s="6" t="s">
        <v>833</v>
      </c>
      <c r="F37" s="6" t="s">
        <v>791</v>
      </c>
    </row>
    <row r="38" spans="1:6" ht="55" customHeight="1">
      <c r="A38" s="5" t="s">
        <v>788</v>
      </c>
      <c r="B38" s="5" t="s">
        <v>7</v>
      </c>
      <c r="C38" s="5" t="s">
        <v>563</v>
      </c>
      <c r="D38" s="5" t="s">
        <v>838</v>
      </c>
      <c r="E38" s="5" t="s">
        <v>839</v>
      </c>
      <c r="F38" s="5" t="s">
        <v>791</v>
      </c>
    </row>
    <row r="39" spans="1:6" ht="55" customHeight="1">
      <c r="A39" s="6" t="s">
        <v>788</v>
      </c>
      <c r="B39" s="6" t="s">
        <v>7</v>
      </c>
      <c r="C39" s="6" t="s">
        <v>563</v>
      </c>
      <c r="D39" s="6" t="s">
        <v>840</v>
      </c>
      <c r="E39" s="6" t="s">
        <v>841</v>
      </c>
      <c r="F39" s="6" t="s">
        <v>791</v>
      </c>
    </row>
    <row r="40" spans="1:6" ht="55" customHeight="1">
      <c r="A40" s="5" t="s">
        <v>788</v>
      </c>
      <c r="B40" s="5" t="s">
        <v>7</v>
      </c>
      <c r="C40" s="5" t="s">
        <v>563</v>
      </c>
      <c r="D40" s="5" t="s">
        <v>842</v>
      </c>
      <c r="E40" s="5" t="s">
        <v>843</v>
      </c>
      <c r="F40" s="5" t="s">
        <v>791</v>
      </c>
    </row>
    <row r="41" spans="1:6" ht="55" customHeight="1">
      <c r="A41" s="6" t="s">
        <v>788</v>
      </c>
      <c r="B41" s="6" t="s">
        <v>7</v>
      </c>
      <c r="C41" s="6" t="s">
        <v>563</v>
      </c>
      <c r="D41" s="6" t="s">
        <v>844</v>
      </c>
      <c r="E41" s="6" t="s">
        <v>837</v>
      </c>
      <c r="F41" s="6" t="s">
        <v>791</v>
      </c>
    </row>
    <row r="42" spans="1:6" ht="55" customHeight="1">
      <c r="A42" s="5" t="s">
        <v>788</v>
      </c>
      <c r="B42" s="5" t="s">
        <v>7</v>
      </c>
      <c r="C42" s="5" t="s">
        <v>563</v>
      </c>
      <c r="D42" s="5" t="s">
        <v>845</v>
      </c>
      <c r="E42" s="5" t="s">
        <v>833</v>
      </c>
      <c r="F42" s="5" t="s">
        <v>791</v>
      </c>
    </row>
    <row r="43" spans="1:6" ht="55" customHeight="1">
      <c r="A43" s="6" t="s">
        <v>788</v>
      </c>
      <c r="B43" s="6" t="s">
        <v>7</v>
      </c>
      <c r="C43" s="6" t="s">
        <v>563</v>
      </c>
      <c r="D43" s="6" t="s">
        <v>832</v>
      </c>
      <c r="E43" s="6" t="s">
        <v>833</v>
      </c>
      <c r="F43" s="6" t="s">
        <v>791</v>
      </c>
    </row>
    <row r="44" spans="1:6" ht="55" customHeight="1">
      <c r="A44" s="5" t="s">
        <v>788</v>
      </c>
      <c r="B44" s="5" t="s">
        <v>7</v>
      </c>
      <c r="C44" s="5" t="s">
        <v>563</v>
      </c>
      <c r="D44" s="5" t="s">
        <v>830</v>
      </c>
      <c r="E44" s="5" t="s">
        <v>831</v>
      </c>
      <c r="F44" s="5" t="s">
        <v>791</v>
      </c>
    </row>
    <row r="45" spans="1:6" ht="55" customHeight="1">
      <c r="A45" s="6" t="s">
        <v>788</v>
      </c>
      <c r="B45" s="6" t="s">
        <v>7</v>
      </c>
      <c r="C45" s="6" t="s">
        <v>563</v>
      </c>
      <c r="D45" s="6" t="s">
        <v>846</v>
      </c>
      <c r="E45" s="6" t="s">
        <v>847</v>
      </c>
      <c r="F45" s="6" t="s">
        <v>791</v>
      </c>
    </row>
    <row r="46" spans="1:6" ht="55" customHeight="1">
      <c r="A46" s="5" t="s">
        <v>788</v>
      </c>
      <c r="B46" s="5" t="s">
        <v>7</v>
      </c>
      <c r="C46" s="5" t="s">
        <v>563</v>
      </c>
      <c r="D46" s="5" t="s">
        <v>848</v>
      </c>
      <c r="E46" s="5" t="s">
        <v>849</v>
      </c>
      <c r="F46" s="5" t="s">
        <v>791</v>
      </c>
    </row>
    <row r="47" spans="1:6" ht="55" customHeight="1">
      <c r="A47" s="6" t="s">
        <v>788</v>
      </c>
      <c r="B47" s="6" t="s">
        <v>7</v>
      </c>
      <c r="C47" s="6" t="s">
        <v>563</v>
      </c>
      <c r="D47" s="6" t="s">
        <v>850</v>
      </c>
      <c r="E47" s="6" t="s">
        <v>851</v>
      </c>
      <c r="F47" s="6" t="s">
        <v>791</v>
      </c>
    </row>
    <row r="48" spans="1:6" ht="55" customHeight="1">
      <c r="A48" s="5" t="s">
        <v>788</v>
      </c>
      <c r="B48" s="5" t="s">
        <v>7</v>
      </c>
      <c r="C48" s="5" t="s">
        <v>563</v>
      </c>
      <c r="D48" s="5" t="s">
        <v>852</v>
      </c>
      <c r="E48" s="5" t="s">
        <v>841</v>
      </c>
      <c r="F48" s="5" t="s">
        <v>791</v>
      </c>
    </row>
    <row r="49" spans="1:6" ht="55" customHeight="1">
      <c r="A49" s="6" t="s">
        <v>788</v>
      </c>
      <c r="B49" s="6" t="s">
        <v>7</v>
      </c>
      <c r="C49" s="6" t="s">
        <v>563</v>
      </c>
      <c r="D49" s="6" t="s">
        <v>853</v>
      </c>
      <c r="E49" s="6" t="s">
        <v>854</v>
      </c>
      <c r="F49" s="6" t="s">
        <v>791</v>
      </c>
    </row>
    <row r="50" spans="1:6" ht="55" customHeight="1">
      <c r="A50" s="5" t="s">
        <v>788</v>
      </c>
      <c r="B50" s="5" t="s">
        <v>7</v>
      </c>
      <c r="C50" s="5" t="s">
        <v>563</v>
      </c>
      <c r="D50" s="5" t="s">
        <v>855</v>
      </c>
      <c r="E50" s="5" t="s">
        <v>856</v>
      </c>
      <c r="F50" s="5" t="s">
        <v>791</v>
      </c>
    </row>
    <row r="51" spans="1:6" ht="55" customHeight="1">
      <c r="A51" s="6" t="s">
        <v>788</v>
      </c>
      <c r="B51" s="6" t="s">
        <v>7</v>
      </c>
      <c r="C51" s="6" t="s">
        <v>563</v>
      </c>
      <c r="D51" s="6" t="s">
        <v>857</v>
      </c>
      <c r="E51" s="6" t="s">
        <v>858</v>
      </c>
      <c r="F51" s="6" t="s">
        <v>791</v>
      </c>
    </row>
    <row r="52" spans="1:6" ht="55" customHeight="1">
      <c r="A52" s="5" t="s">
        <v>788</v>
      </c>
      <c r="B52" s="5" t="s">
        <v>7</v>
      </c>
      <c r="C52" s="5" t="s">
        <v>563</v>
      </c>
      <c r="D52" s="5" t="s">
        <v>859</v>
      </c>
      <c r="E52" s="5" t="s">
        <v>860</v>
      </c>
      <c r="F52" s="5" t="s">
        <v>791</v>
      </c>
    </row>
    <row r="53" spans="1:6" ht="55" customHeight="1">
      <c r="A53" s="6" t="s">
        <v>788</v>
      </c>
      <c r="B53" s="6" t="s">
        <v>7</v>
      </c>
      <c r="C53" s="6" t="s">
        <v>563</v>
      </c>
      <c r="D53" s="6" t="s">
        <v>861</v>
      </c>
      <c r="E53" s="6" t="s">
        <v>862</v>
      </c>
      <c r="F53" s="6" t="s">
        <v>791</v>
      </c>
    </row>
    <row r="54" spans="1:6" ht="57" customHeight="1">
      <c r="A54" s="5" t="s">
        <v>788</v>
      </c>
      <c r="B54" s="5" t="s">
        <v>7</v>
      </c>
      <c r="C54" s="5" t="s">
        <v>563</v>
      </c>
      <c r="D54" s="5" t="s">
        <v>863</v>
      </c>
      <c r="E54" s="5" t="s">
        <v>864</v>
      </c>
      <c r="F54" s="5" t="s">
        <v>791</v>
      </c>
    </row>
    <row r="55" spans="1:6" ht="55" customHeight="1">
      <c r="A55" s="6" t="s">
        <v>788</v>
      </c>
      <c r="B55" s="6" t="s">
        <v>7</v>
      </c>
      <c r="C55" s="6" t="s">
        <v>563</v>
      </c>
      <c r="D55" s="6" t="s">
        <v>865</v>
      </c>
      <c r="E55" s="6" t="s">
        <v>866</v>
      </c>
      <c r="F55" s="6" t="s">
        <v>791</v>
      </c>
    </row>
    <row r="56" spans="1:6" ht="55" customHeight="1">
      <c r="A56" s="5" t="s">
        <v>788</v>
      </c>
      <c r="B56" s="5" t="s">
        <v>7</v>
      </c>
      <c r="C56" s="5" t="s">
        <v>563</v>
      </c>
      <c r="D56" s="5" t="s">
        <v>867</v>
      </c>
      <c r="E56" s="5" t="s">
        <v>868</v>
      </c>
      <c r="F56" s="5" t="s">
        <v>791</v>
      </c>
    </row>
    <row r="57" spans="1:6" ht="55" customHeight="1">
      <c r="A57" s="6" t="s">
        <v>788</v>
      </c>
      <c r="B57" s="6" t="s">
        <v>7</v>
      </c>
      <c r="C57" s="6" t="s">
        <v>563</v>
      </c>
      <c r="D57" s="6" t="s">
        <v>869</v>
      </c>
      <c r="E57" s="6" t="s">
        <v>870</v>
      </c>
      <c r="F57" s="6" t="s">
        <v>791</v>
      </c>
    </row>
    <row r="58" spans="1:6" ht="55" customHeight="1">
      <c r="A58" s="5" t="s">
        <v>788</v>
      </c>
      <c r="B58" s="5" t="s">
        <v>7</v>
      </c>
      <c r="C58" s="5" t="s">
        <v>563</v>
      </c>
      <c r="D58" s="5" t="s">
        <v>871</v>
      </c>
      <c r="E58" s="5" t="s">
        <v>872</v>
      </c>
      <c r="F58" s="5" t="s">
        <v>791</v>
      </c>
    </row>
    <row r="59" spans="1:6" ht="55" customHeight="1">
      <c r="A59" s="6" t="s">
        <v>779</v>
      </c>
      <c r="B59" s="6" t="s">
        <v>16</v>
      </c>
      <c r="C59" s="6" t="s">
        <v>573</v>
      </c>
      <c r="D59" s="6" t="s">
        <v>601</v>
      </c>
      <c r="E59" s="6" t="s">
        <v>873</v>
      </c>
      <c r="F59" s="6" t="s">
        <v>781</v>
      </c>
    </row>
    <row r="60" spans="1:6" ht="72" customHeight="1">
      <c r="A60" s="5" t="s">
        <v>779</v>
      </c>
      <c r="B60" s="5" t="s">
        <v>16</v>
      </c>
      <c r="C60" s="5" t="s">
        <v>573</v>
      </c>
      <c r="D60" s="5" t="s">
        <v>874</v>
      </c>
      <c r="E60" s="5" t="s">
        <v>875</v>
      </c>
      <c r="F60" s="5" t="s">
        <v>781</v>
      </c>
    </row>
    <row r="61" spans="1:6" ht="55" customHeight="1">
      <c r="A61" s="6" t="s">
        <v>779</v>
      </c>
      <c r="B61" s="6" t="s">
        <v>16</v>
      </c>
      <c r="C61" s="6" t="s">
        <v>573</v>
      </c>
      <c r="D61" s="6" t="s">
        <v>766</v>
      </c>
      <c r="E61" s="6" t="s">
        <v>876</v>
      </c>
      <c r="F61" s="6" t="s">
        <v>781</v>
      </c>
    </row>
    <row r="62" spans="1:6" ht="55" customHeight="1">
      <c r="A62" s="5" t="s">
        <v>779</v>
      </c>
      <c r="B62" s="5" t="s">
        <v>16</v>
      </c>
      <c r="C62" s="5" t="s">
        <v>573</v>
      </c>
      <c r="D62" s="5" t="s">
        <v>877</v>
      </c>
      <c r="E62" s="5" t="s">
        <v>878</v>
      </c>
      <c r="F62" s="5" t="s">
        <v>781</v>
      </c>
    </row>
    <row r="63" spans="1:6" ht="55" customHeight="1">
      <c r="A63" s="6" t="s">
        <v>779</v>
      </c>
      <c r="B63" s="6" t="s">
        <v>16</v>
      </c>
      <c r="C63" s="6" t="s">
        <v>573</v>
      </c>
      <c r="D63" s="6" t="s">
        <v>879</v>
      </c>
      <c r="E63" s="6" t="s">
        <v>880</v>
      </c>
      <c r="F63" s="6" t="s">
        <v>781</v>
      </c>
    </row>
    <row r="64" spans="1:6" ht="57" customHeight="1">
      <c r="A64" s="5" t="s">
        <v>779</v>
      </c>
      <c r="B64" s="5" t="s">
        <v>16</v>
      </c>
      <c r="C64" s="5" t="s">
        <v>573</v>
      </c>
      <c r="D64" s="5" t="s">
        <v>881</v>
      </c>
      <c r="E64" s="5" t="s">
        <v>882</v>
      </c>
      <c r="F64" s="5" t="s">
        <v>781</v>
      </c>
    </row>
    <row r="65" spans="1:6" ht="55" customHeight="1">
      <c r="A65" s="6" t="s">
        <v>788</v>
      </c>
      <c r="B65" s="6" t="s">
        <v>16</v>
      </c>
      <c r="C65" s="6" t="s">
        <v>573</v>
      </c>
      <c r="D65" s="6" t="s">
        <v>883</v>
      </c>
      <c r="E65" s="6" t="s">
        <v>884</v>
      </c>
      <c r="F65" s="6" t="s">
        <v>791</v>
      </c>
    </row>
    <row r="66" spans="1:6" ht="55" customHeight="1">
      <c r="A66" s="5" t="s">
        <v>788</v>
      </c>
      <c r="B66" s="5" t="s">
        <v>16</v>
      </c>
      <c r="C66" s="5" t="s">
        <v>573</v>
      </c>
      <c r="D66" s="5" t="s">
        <v>885</v>
      </c>
      <c r="E66" s="5" t="s">
        <v>886</v>
      </c>
      <c r="F66" s="5" t="s">
        <v>791</v>
      </c>
    </row>
    <row r="67" spans="1:6" ht="55" customHeight="1">
      <c r="A67" s="6" t="s">
        <v>788</v>
      </c>
      <c r="B67" s="6" t="s">
        <v>16</v>
      </c>
      <c r="C67" s="6" t="s">
        <v>573</v>
      </c>
      <c r="D67" s="6" t="s">
        <v>887</v>
      </c>
      <c r="E67" s="6" t="s">
        <v>888</v>
      </c>
      <c r="F67" s="6" t="s">
        <v>791</v>
      </c>
    </row>
    <row r="68" spans="1:6" ht="55" customHeight="1">
      <c r="A68" s="5" t="s">
        <v>788</v>
      </c>
      <c r="B68" s="5" t="s">
        <v>16</v>
      </c>
      <c r="C68" s="5" t="s">
        <v>573</v>
      </c>
      <c r="D68" s="5" t="s">
        <v>889</v>
      </c>
      <c r="E68" s="5" t="s">
        <v>890</v>
      </c>
      <c r="F68" s="5" t="s">
        <v>791</v>
      </c>
    </row>
    <row r="69" spans="1:6" ht="55" customHeight="1">
      <c r="A69" s="6" t="s">
        <v>788</v>
      </c>
      <c r="B69" s="6" t="s">
        <v>16</v>
      </c>
      <c r="C69" s="6" t="s">
        <v>573</v>
      </c>
      <c r="D69" s="6" t="s">
        <v>891</v>
      </c>
      <c r="E69" s="6" t="s">
        <v>892</v>
      </c>
      <c r="F69" s="6" t="s">
        <v>791</v>
      </c>
    </row>
    <row r="70" spans="1:6" ht="55" customHeight="1">
      <c r="A70" s="5" t="s">
        <v>788</v>
      </c>
      <c r="B70" s="5" t="s">
        <v>16</v>
      </c>
      <c r="C70" s="5" t="s">
        <v>573</v>
      </c>
      <c r="D70" s="5" t="s">
        <v>893</v>
      </c>
      <c r="E70" s="5" t="s">
        <v>894</v>
      </c>
      <c r="F70" s="5" t="s">
        <v>791</v>
      </c>
    </row>
    <row r="71" spans="1:6" ht="55" customHeight="1">
      <c r="A71" s="6" t="s">
        <v>788</v>
      </c>
      <c r="B71" s="6" t="s">
        <v>16</v>
      </c>
      <c r="C71" s="6" t="s">
        <v>573</v>
      </c>
      <c r="D71" s="6" t="s">
        <v>895</v>
      </c>
      <c r="E71" s="6" t="s">
        <v>896</v>
      </c>
      <c r="F71" s="6" t="s">
        <v>791</v>
      </c>
    </row>
    <row r="72" spans="1:6" ht="55" customHeight="1">
      <c r="A72" s="5" t="s">
        <v>788</v>
      </c>
      <c r="B72" s="5" t="s">
        <v>16</v>
      </c>
      <c r="C72" s="5" t="s">
        <v>573</v>
      </c>
      <c r="D72" s="5" t="s">
        <v>897</v>
      </c>
      <c r="E72" s="5" t="s">
        <v>898</v>
      </c>
      <c r="F72" s="5" t="s">
        <v>791</v>
      </c>
    </row>
    <row r="73" spans="1:6" ht="55" customHeight="1">
      <c r="A73" s="6" t="s">
        <v>788</v>
      </c>
      <c r="B73" s="6" t="s">
        <v>16</v>
      </c>
      <c r="C73" s="6" t="s">
        <v>573</v>
      </c>
      <c r="D73" s="6" t="s">
        <v>899</v>
      </c>
      <c r="E73" s="6" t="s">
        <v>900</v>
      </c>
      <c r="F73" s="6" t="s">
        <v>791</v>
      </c>
    </row>
    <row r="74" spans="1:6" ht="55" customHeight="1">
      <c r="A74" s="5" t="s">
        <v>788</v>
      </c>
      <c r="B74" s="5" t="s">
        <v>16</v>
      </c>
      <c r="C74" s="5" t="s">
        <v>573</v>
      </c>
      <c r="D74" s="5" t="s">
        <v>901</v>
      </c>
      <c r="E74" s="5" t="s">
        <v>902</v>
      </c>
      <c r="F74" s="5" t="s">
        <v>791</v>
      </c>
    </row>
    <row r="75" spans="1:6" ht="55" customHeight="1">
      <c r="A75" s="6" t="s">
        <v>788</v>
      </c>
      <c r="B75" s="6" t="s">
        <v>16</v>
      </c>
      <c r="C75" s="6" t="s">
        <v>573</v>
      </c>
      <c r="D75" s="6" t="s">
        <v>903</v>
      </c>
      <c r="E75" s="6" t="s">
        <v>904</v>
      </c>
      <c r="F75" s="6" t="s">
        <v>791</v>
      </c>
    </row>
    <row r="76" spans="1:6" ht="55" customHeight="1">
      <c r="A76" s="5" t="s">
        <v>788</v>
      </c>
      <c r="B76" s="5" t="s">
        <v>16</v>
      </c>
      <c r="C76" s="5" t="s">
        <v>573</v>
      </c>
      <c r="D76" s="5" t="s">
        <v>905</v>
      </c>
      <c r="E76" s="5" t="s">
        <v>906</v>
      </c>
      <c r="F76" s="5" t="s">
        <v>791</v>
      </c>
    </row>
    <row r="77" spans="1:6" ht="55" customHeight="1">
      <c r="A77" s="6" t="s">
        <v>788</v>
      </c>
      <c r="B77" s="6" t="s">
        <v>16</v>
      </c>
      <c r="C77" s="6" t="s">
        <v>573</v>
      </c>
      <c r="D77" s="6" t="s">
        <v>907</v>
      </c>
      <c r="E77" s="6" t="s">
        <v>908</v>
      </c>
      <c r="F77" s="6" t="s">
        <v>791</v>
      </c>
    </row>
    <row r="78" spans="1:6" ht="55" customHeight="1">
      <c r="A78" s="5" t="s">
        <v>788</v>
      </c>
      <c r="B78" s="5" t="s">
        <v>16</v>
      </c>
      <c r="C78" s="5" t="s">
        <v>573</v>
      </c>
      <c r="D78" s="5" t="s">
        <v>909</v>
      </c>
      <c r="E78" s="5" t="s">
        <v>910</v>
      </c>
      <c r="F78" s="5" t="s">
        <v>791</v>
      </c>
    </row>
    <row r="79" spans="1:6" ht="55" customHeight="1">
      <c r="A79" s="6" t="s">
        <v>779</v>
      </c>
      <c r="B79" s="6" t="s">
        <v>21</v>
      </c>
      <c r="C79" s="6" t="s">
        <v>577</v>
      </c>
      <c r="D79" s="6" t="s">
        <v>639</v>
      </c>
      <c r="E79" s="6" t="s">
        <v>911</v>
      </c>
      <c r="F79" s="6" t="s">
        <v>781</v>
      </c>
    </row>
    <row r="80" spans="1:6" ht="55" customHeight="1">
      <c r="A80" s="5" t="s">
        <v>779</v>
      </c>
      <c r="B80" s="5" t="s">
        <v>21</v>
      </c>
      <c r="C80" s="5" t="s">
        <v>577</v>
      </c>
      <c r="D80" s="5" t="s">
        <v>708</v>
      </c>
      <c r="E80" s="5" t="s">
        <v>912</v>
      </c>
      <c r="F80" s="5" t="s">
        <v>781</v>
      </c>
    </row>
    <row r="81" spans="1:6" ht="55" customHeight="1">
      <c r="A81" s="6" t="s">
        <v>779</v>
      </c>
      <c r="B81" s="6" t="s">
        <v>21</v>
      </c>
      <c r="C81" s="6" t="s">
        <v>577</v>
      </c>
      <c r="D81" s="6" t="s">
        <v>712</v>
      </c>
      <c r="E81" s="6" t="s">
        <v>913</v>
      </c>
      <c r="F81" s="6" t="s">
        <v>781</v>
      </c>
    </row>
    <row r="82" spans="1:6" ht="55" customHeight="1">
      <c r="A82" s="5" t="s">
        <v>779</v>
      </c>
      <c r="B82" s="5" t="s">
        <v>21</v>
      </c>
      <c r="C82" s="5" t="s">
        <v>577</v>
      </c>
      <c r="D82" s="5" t="s">
        <v>611</v>
      </c>
      <c r="E82" s="5" t="s">
        <v>914</v>
      </c>
      <c r="F82" s="5" t="s">
        <v>781</v>
      </c>
    </row>
    <row r="83" spans="1:6" ht="55" customHeight="1">
      <c r="A83" s="6" t="s">
        <v>779</v>
      </c>
      <c r="B83" s="6" t="s">
        <v>21</v>
      </c>
      <c r="C83" s="6" t="s">
        <v>577</v>
      </c>
      <c r="D83" s="6" t="s">
        <v>716</v>
      </c>
      <c r="E83" s="6" t="s">
        <v>915</v>
      </c>
      <c r="F83" s="6" t="s">
        <v>781</v>
      </c>
    </row>
    <row r="84" spans="1:6" ht="55" customHeight="1">
      <c r="A84" s="5" t="s">
        <v>779</v>
      </c>
      <c r="B84" s="5" t="s">
        <v>21</v>
      </c>
      <c r="C84" s="5" t="s">
        <v>577</v>
      </c>
      <c r="D84" s="5" t="s">
        <v>916</v>
      </c>
      <c r="E84" s="5" t="s">
        <v>917</v>
      </c>
      <c r="F84" s="5" t="s">
        <v>781</v>
      </c>
    </row>
    <row r="85" spans="1:6" ht="55" customHeight="1">
      <c r="A85" s="6" t="s">
        <v>779</v>
      </c>
      <c r="B85" s="6" t="s">
        <v>21</v>
      </c>
      <c r="C85" s="6" t="s">
        <v>577</v>
      </c>
      <c r="D85" s="6" t="s">
        <v>918</v>
      </c>
      <c r="E85" s="6" t="s">
        <v>919</v>
      </c>
      <c r="F85" s="6" t="s">
        <v>781</v>
      </c>
    </row>
    <row r="86" spans="1:6" ht="55" customHeight="1">
      <c r="A86" s="5" t="s">
        <v>779</v>
      </c>
      <c r="B86" s="5" t="s">
        <v>21</v>
      </c>
      <c r="C86" s="5" t="s">
        <v>577</v>
      </c>
      <c r="D86" s="5" t="s">
        <v>761</v>
      </c>
      <c r="E86" s="5" t="s">
        <v>920</v>
      </c>
      <c r="F86" s="5" t="s">
        <v>781</v>
      </c>
    </row>
    <row r="87" spans="1:6" ht="55" customHeight="1">
      <c r="A87" s="6" t="s">
        <v>788</v>
      </c>
      <c r="B87" s="6" t="s">
        <v>21</v>
      </c>
      <c r="C87" s="6" t="s">
        <v>577</v>
      </c>
      <c r="D87" s="6" t="s">
        <v>921</v>
      </c>
      <c r="E87" s="6" t="s">
        <v>922</v>
      </c>
      <c r="F87" s="6" t="s">
        <v>791</v>
      </c>
    </row>
    <row r="88" spans="1:6" ht="55" customHeight="1">
      <c r="A88" s="5" t="s">
        <v>788</v>
      </c>
      <c r="B88" s="5" t="s">
        <v>21</v>
      </c>
      <c r="C88" s="5" t="s">
        <v>577</v>
      </c>
      <c r="D88" s="5" t="s">
        <v>923</v>
      </c>
      <c r="E88" s="5" t="s">
        <v>924</v>
      </c>
      <c r="F88" s="5" t="s">
        <v>791</v>
      </c>
    </row>
    <row r="89" spans="1:6" ht="55" customHeight="1">
      <c r="A89" s="6" t="s">
        <v>788</v>
      </c>
      <c r="B89" s="6" t="s">
        <v>21</v>
      </c>
      <c r="C89" s="6" t="s">
        <v>577</v>
      </c>
      <c r="D89" s="6" t="s">
        <v>925</v>
      </c>
      <c r="E89" s="6" t="s">
        <v>926</v>
      </c>
      <c r="F89" s="6" t="s">
        <v>791</v>
      </c>
    </row>
    <row r="90" spans="1:6" ht="55" customHeight="1">
      <c r="A90" s="5" t="s">
        <v>788</v>
      </c>
      <c r="B90" s="5" t="s">
        <v>21</v>
      </c>
      <c r="C90" s="5" t="s">
        <v>577</v>
      </c>
      <c r="D90" s="5" t="s">
        <v>927</v>
      </c>
      <c r="E90" s="5" t="s">
        <v>928</v>
      </c>
      <c r="F90" s="5" t="s">
        <v>791</v>
      </c>
    </row>
    <row r="91" spans="1:6" ht="55" customHeight="1">
      <c r="A91" s="6" t="s">
        <v>788</v>
      </c>
      <c r="B91" s="6" t="s">
        <v>21</v>
      </c>
      <c r="C91" s="6" t="s">
        <v>577</v>
      </c>
      <c r="D91" s="6" t="s">
        <v>929</v>
      </c>
      <c r="E91" s="6" t="s">
        <v>930</v>
      </c>
      <c r="F91" s="6" t="s">
        <v>791</v>
      </c>
    </row>
    <row r="92" spans="1:6" ht="55" customHeight="1">
      <c r="A92" s="5" t="s">
        <v>788</v>
      </c>
      <c r="B92" s="5" t="s">
        <v>21</v>
      </c>
      <c r="C92" s="5" t="s">
        <v>577</v>
      </c>
      <c r="D92" s="5" t="s">
        <v>931</v>
      </c>
      <c r="E92" s="5" t="s">
        <v>932</v>
      </c>
      <c r="F92" s="5" t="s">
        <v>791</v>
      </c>
    </row>
    <row r="93" spans="1:6" ht="55" customHeight="1">
      <c r="A93" s="6" t="s">
        <v>788</v>
      </c>
      <c r="B93" s="6" t="s">
        <v>21</v>
      </c>
      <c r="C93" s="6" t="s">
        <v>577</v>
      </c>
      <c r="D93" s="6" t="s">
        <v>933</v>
      </c>
      <c r="E93" s="6" t="s">
        <v>934</v>
      </c>
      <c r="F93" s="6" t="s">
        <v>791</v>
      </c>
    </row>
    <row r="94" spans="1:6" ht="55" customHeight="1">
      <c r="A94" s="5" t="s">
        <v>788</v>
      </c>
      <c r="B94" s="5" t="s">
        <v>21</v>
      </c>
      <c r="C94" s="5" t="s">
        <v>577</v>
      </c>
      <c r="D94" s="5" t="s">
        <v>935</v>
      </c>
      <c r="E94" s="5" t="s">
        <v>936</v>
      </c>
      <c r="F94" s="5" t="s">
        <v>791</v>
      </c>
    </row>
    <row r="95" spans="1:6" ht="55" customHeight="1">
      <c r="A95" s="6" t="s">
        <v>788</v>
      </c>
      <c r="B95" s="6" t="s">
        <v>21</v>
      </c>
      <c r="C95" s="6" t="s">
        <v>577</v>
      </c>
      <c r="D95" s="6" t="s">
        <v>937</v>
      </c>
      <c r="E95" s="6" t="s">
        <v>938</v>
      </c>
      <c r="F95" s="6" t="s">
        <v>791</v>
      </c>
    </row>
    <row r="96" spans="1:6" ht="55" customHeight="1">
      <c r="A96" s="5" t="s">
        <v>788</v>
      </c>
      <c r="B96" s="5" t="s">
        <v>21</v>
      </c>
      <c r="C96" s="5" t="s">
        <v>577</v>
      </c>
      <c r="D96" s="5" t="s">
        <v>939</v>
      </c>
      <c r="E96" s="5" t="s">
        <v>940</v>
      </c>
      <c r="F96" s="5" t="s">
        <v>791</v>
      </c>
    </row>
    <row r="97" spans="1:6" ht="55" customHeight="1">
      <c r="A97" s="6" t="s">
        <v>788</v>
      </c>
      <c r="B97" s="6" t="s">
        <v>21</v>
      </c>
      <c r="C97" s="6" t="s">
        <v>577</v>
      </c>
      <c r="D97" s="6" t="s">
        <v>941</v>
      </c>
      <c r="E97" s="6" t="s">
        <v>930</v>
      </c>
      <c r="F97" s="6" t="s">
        <v>791</v>
      </c>
    </row>
    <row r="98" spans="1:6" ht="55" customHeight="1">
      <c r="A98" s="5" t="s">
        <v>788</v>
      </c>
      <c r="B98" s="5" t="s">
        <v>21</v>
      </c>
      <c r="C98" s="5" t="s">
        <v>577</v>
      </c>
      <c r="D98" s="5" t="s">
        <v>942</v>
      </c>
      <c r="E98" s="5" t="s">
        <v>932</v>
      </c>
      <c r="F98" s="5" t="s">
        <v>791</v>
      </c>
    </row>
    <row r="99" spans="1:6" ht="55" customHeight="1">
      <c r="A99" s="6" t="s">
        <v>788</v>
      </c>
      <c r="B99" s="6" t="s">
        <v>21</v>
      </c>
      <c r="C99" s="6" t="s">
        <v>577</v>
      </c>
      <c r="D99" s="6" t="s">
        <v>943</v>
      </c>
      <c r="E99" s="6" t="s">
        <v>934</v>
      </c>
      <c r="F99" s="6" t="s">
        <v>791</v>
      </c>
    </row>
    <row r="100" spans="1:6" ht="87" customHeight="1">
      <c r="A100" s="5" t="s">
        <v>779</v>
      </c>
      <c r="B100" s="5" t="s">
        <v>26</v>
      </c>
      <c r="C100" s="5" t="s">
        <v>583</v>
      </c>
      <c r="D100" s="5" t="s">
        <v>944</v>
      </c>
      <c r="E100" s="5" t="s">
        <v>945</v>
      </c>
      <c r="F100" s="5" t="s">
        <v>781</v>
      </c>
    </row>
    <row r="101" spans="1:6" ht="102" customHeight="1">
      <c r="A101" s="6" t="s">
        <v>779</v>
      </c>
      <c r="B101" s="6" t="s">
        <v>26</v>
      </c>
      <c r="C101" s="6" t="s">
        <v>583</v>
      </c>
      <c r="D101" s="6" t="s">
        <v>766</v>
      </c>
      <c r="E101" s="6" t="s">
        <v>946</v>
      </c>
      <c r="F101" s="6" t="s">
        <v>781</v>
      </c>
    </row>
    <row r="102" spans="1:6" ht="102" customHeight="1">
      <c r="A102" s="5" t="s">
        <v>779</v>
      </c>
      <c r="B102" s="5" t="s">
        <v>26</v>
      </c>
      <c r="C102" s="5" t="s">
        <v>583</v>
      </c>
      <c r="D102" s="5" t="s">
        <v>877</v>
      </c>
      <c r="E102" s="5" t="s">
        <v>947</v>
      </c>
      <c r="F102" s="5" t="s">
        <v>781</v>
      </c>
    </row>
    <row r="103" spans="1:6" ht="55" customHeight="1">
      <c r="A103" s="6" t="s">
        <v>788</v>
      </c>
      <c r="B103" s="6" t="s">
        <v>26</v>
      </c>
      <c r="C103" s="6" t="s">
        <v>583</v>
      </c>
      <c r="D103" s="6" t="s">
        <v>948</v>
      </c>
      <c r="E103" s="6" t="s">
        <v>949</v>
      </c>
      <c r="F103" s="6" t="s">
        <v>791</v>
      </c>
    </row>
    <row r="104" spans="1:6" ht="55" customHeight="1">
      <c r="A104" s="5" t="s">
        <v>788</v>
      </c>
      <c r="B104" s="5" t="s">
        <v>26</v>
      </c>
      <c r="C104" s="5" t="s">
        <v>583</v>
      </c>
      <c r="D104" s="5" t="s">
        <v>950</v>
      </c>
      <c r="E104" s="5" t="s">
        <v>951</v>
      </c>
      <c r="F104" s="5" t="s">
        <v>791</v>
      </c>
    </row>
    <row r="105" spans="1:6" ht="55" customHeight="1">
      <c r="A105" s="6" t="s">
        <v>788</v>
      </c>
      <c r="B105" s="6" t="s">
        <v>26</v>
      </c>
      <c r="C105" s="6" t="s">
        <v>583</v>
      </c>
      <c r="D105" s="6" t="s">
        <v>952</v>
      </c>
      <c r="E105" s="6" t="s">
        <v>953</v>
      </c>
      <c r="F105" s="6" t="s">
        <v>791</v>
      </c>
    </row>
    <row r="106" spans="1:6" ht="55" customHeight="1">
      <c r="A106" s="5" t="s">
        <v>788</v>
      </c>
      <c r="B106" s="5" t="s">
        <v>26</v>
      </c>
      <c r="C106" s="5" t="s">
        <v>583</v>
      </c>
      <c r="D106" s="5" t="s">
        <v>954</v>
      </c>
      <c r="E106" s="5" t="s">
        <v>955</v>
      </c>
      <c r="F106" s="5" t="s">
        <v>791</v>
      </c>
    </row>
    <row r="107" spans="1:6" ht="55" customHeight="1">
      <c r="A107" s="6" t="s">
        <v>788</v>
      </c>
      <c r="B107" s="6" t="s">
        <v>26</v>
      </c>
      <c r="C107" s="6" t="s">
        <v>583</v>
      </c>
      <c r="D107" s="6" t="s">
        <v>956</v>
      </c>
      <c r="E107" s="6" t="s">
        <v>957</v>
      </c>
      <c r="F107" s="6" t="s">
        <v>791</v>
      </c>
    </row>
    <row r="108" spans="1:6" ht="55" customHeight="1">
      <c r="A108" s="5" t="s">
        <v>788</v>
      </c>
      <c r="B108" s="5" t="s">
        <v>26</v>
      </c>
      <c r="C108" s="5" t="s">
        <v>583</v>
      </c>
      <c r="D108" s="5" t="s">
        <v>958</v>
      </c>
      <c r="E108" s="5" t="s">
        <v>959</v>
      </c>
      <c r="F108" s="5" t="s">
        <v>791</v>
      </c>
    </row>
    <row r="109" spans="1:6" ht="55" customHeight="1">
      <c r="A109" s="6" t="s">
        <v>788</v>
      </c>
      <c r="B109" s="6" t="s">
        <v>26</v>
      </c>
      <c r="C109" s="6" t="s">
        <v>583</v>
      </c>
      <c r="D109" s="6" t="s">
        <v>960</v>
      </c>
      <c r="E109" s="6" t="s">
        <v>961</v>
      </c>
      <c r="F109" s="6" t="s">
        <v>791</v>
      </c>
    </row>
    <row r="110" spans="1:6" ht="55" customHeight="1">
      <c r="A110" s="5" t="s">
        <v>788</v>
      </c>
      <c r="B110" s="5" t="s">
        <v>26</v>
      </c>
      <c r="C110" s="5" t="s">
        <v>583</v>
      </c>
      <c r="D110" s="5" t="s">
        <v>962</v>
      </c>
      <c r="E110" s="5" t="s">
        <v>963</v>
      </c>
      <c r="F110" s="5" t="s">
        <v>791</v>
      </c>
    </row>
    <row r="111" spans="1:6" ht="55" customHeight="1">
      <c r="A111" s="6" t="s">
        <v>788</v>
      </c>
      <c r="B111" s="6" t="s">
        <v>26</v>
      </c>
      <c r="C111" s="6" t="s">
        <v>583</v>
      </c>
      <c r="D111" s="6" t="s">
        <v>964</v>
      </c>
      <c r="E111" s="6" t="s">
        <v>965</v>
      </c>
      <c r="F111" s="6" t="s">
        <v>791</v>
      </c>
    </row>
    <row r="112" spans="1:6" ht="55" customHeight="1">
      <c r="A112" s="5" t="s">
        <v>788</v>
      </c>
      <c r="B112" s="5" t="s">
        <v>26</v>
      </c>
      <c r="C112" s="5" t="s">
        <v>583</v>
      </c>
      <c r="D112" s="5" t="s">
        <v>966</v>
      </c>
      <c r="E112" s="5" t="s">
        <v>967</v>
      </c>
      <c r="F112" s="5" t="s">
        <v>791</v>
      </c>
    </row>
    <row r="113" spans="1:6" ht="55" customHeight="1">
      <c r="A113" s="6" t="s">
        <v>788</v>
      </c>
      <c r="B113" s="6" t="s">
        <v>26</v>
      </c>
      <c r="C113" s="6" t="s">
        <v>583</v>
      </c>
      <c r="D113" s="6" t="s">
        <v>968</v>
      </c>
      <c r="E113" s="6" t="s">
        <v>969</v>
      </c>
      <c r="F113" s="6" t="s">
        <v>791</v>
      </c>
    </row>
    <row r="114" spans="1:6" ht="55" customHeight="1">
      <c r="A114" s="5" t="s">
        <v>788</v>
      </c>
      <c r="B114" s="5" t="s">
        <v>26</v>
      </c>
      <c r="C114" s="5" t="s">
        <v>583</v>
      </c>
      <c r="D114" s="5" t="s">
        <v>970</v>
      </c>
      <c r="E114" s="5" t="s">
        <v>971</v>
      </c>
      <c r="F114" s="5" t="s">
        <v>791</v>
      </c>
    </row>
    <row r="115" spans="1:6" ht="55" customHeight="1">
      <c r="A115" s="6" t="s">
        <v>788</v>
      </c>
      <c r="B115" s="6" t="s">
        <v>26</v>
      </c>
      <c r="C115" s="6" t="s">
        <v>583</v>
      </c>
      <c r="D115" s="6" t="s">
        <v>972</v>
      </c>
      <c r="E115" s="6" t="s">
        <v>973</v>
      </c>
      <c r="F115" s="6" t="s">
        <v>791</v>
      </c>
    </row>
    <row r="116" spans="1:6" ht="57" customHeight="1">
      <c r="A116" s="5" t="s">
        <v>779</v>
      </c>
      <c r="B116" s="5" t="s">
        <v>39</v>
      </c>
      <c r="C116" s="5" t="s">
        <v>596</v>
      </c>
      <c r="D116" s="5" t="s">
        <v>616</v>
      </c>
      <c r="E116" s="5" t="s">
        <v>974</v>
      </c>
      <c r="F116" s="5" t="s">
        <v>781</v>
      </c>
    </row>
    <row r="117" spans="1:6" ht="55" customHeight="1">
      <c r="A117" s="6" t="s">
        <v>779</v>
      </c>
      <c r="B117" s="6" t="s">
        <v>39</v>
      </c>
      <c r="C117" s="6" t="s">
        <v>596</v>
      </c>
      <c r="D117" s="6" t="s">
        <v>975</v>
      </c>
      <c r="E117" s="6" t="s">
        <v>976</v>
      </c>
      <c r="F117" s="6" t="s">
        <v>781</v>
      </c>
    </row>
    <row r="118" spans="1:6" ht="57" customHeight="1">
      <c r="A118" s="5" t="s">
        <v>779</v>
      </c>
      <c r="B118" s="5" t="s">
        <v>39</v>
      </c>
      <c r="C118" s="5" t="s">
        <v>596</v>
      </c>
      <c r="D118" s="5" t="s">
        <v>874</v>
      </c>
      <c r="E118" s="5" t="s">
        <v>977</v>
      </c>
      <c r="F118" s="5" t="s">
        <v>781</v>
      </c>
    </row>
    <row r="119" spans="1:6" ht="87" customHeight="1">
      <c r="A119" s="6" t="s">
        <v>779</v>
      </c>
      <c r="B119" s="6" t="s">
        <v>39</v>
      </c>
      <c r="C119" s="6" t="s">
        <v>596</v>
      </c>
      <c r="D119" s="6" t="s">
        <v>978</v>
      </c>
      <c r="E119" s="6" t="s">
        <v>979</v>
      </c>
      <c r="F119" s="6" t="s">
        <v>781</v>
      </c>
    </row>
    <row r="120" spans="1:6" ht="55" customHeight="1">
      <c r="A120" s="5" t="s">
        <v>779</v>
      </c>
      <c r="B120" s="5" t="s">
        <v>39</v>
      </c>
      <c r="C120" s="5" t="s">
        <v>596</v>
      </c>
      <c r="D120" s="5" t="s">
        <v>980</v>
      </c>
      <c r="E120" s="5" t="s">
        <v>981</v>
      </c>
      <c r="F120" s="5" t="s">
        <v>781</v>
      </c>
    </row>
    <row r="121" spans="1:6" ht="55" customHeight="1">
      <c r="A121" s="6" t="s">
        <v>788</v>
      </c>
      <c r="B121" s="6" t="s">
        <v>39</v>
      </c>
      <c r="C121" s="6" t="s">
        <v>596</v>
      </c>
      <c r="D121" s="6" t="s">
        <v>982</v>
      </c>
      <c r="E121" s="6" t="s">
        <v>983</v>
      </c>
      <c r="F121" s="6" t="s">
        <v>791</v>
      </c>
    </row>
    <row r="122" spans="1:6" ht="55" customHeight="1">
      <c r="A122" s="5" t="s">
        <v>788</v>
      </c>
      <c r="B122" s="5" t="s">
        <v>39</v>
      </c>
      <c r="C122" s="5" t="s">
        <v>596</v>
      </c>
      <c r="D122" s="5" t="s">
        <v>984</v>
      </c>
      <c r="E122" s="5" t="s">
        <v>985</v>
      </c>
      <c r="F122" s="5" t="s">
        <v>791</v>
      </c>
    </row>
    <row r="123" spans="1:6" ht="55" customHeight="1">
      <c r="A123" s="6" t="s">
        <v>788</v>
      </c>
      <c r="B123" s="6" t="s">
        <v>39</v>
      </c>
      <c r="C123" s="6" t="s">
        <v>596</v>
      </c>
      <c r="D123" s="6" t="s">
        <v>982</v>
      </c>
      <c r="E123" s="6" t="s">
        <v>807</v>
      </c>
      <c r="F123" s="6" t="s">
        <v>791</v>
      </c>
    </row>
    <row r="124" spans="1:6" ht="55" customHeight="1">
      <c r="A124" s="5" t="s">
        <v>788</v>
      </c>
      <c r="B124" s="5" t="s">
        <v>39</v>
      </c>
      <c r="C124" s="5" t="s">
        <v>596</v>
      </c>
      <c r="D124" s="5" t="s">
        <v>984</v>
      </c>
      <c r="E124" s="5" t="s">
        <v>986</v>
      </c>
      <c r="F124" s="5" t="s">
        <v>791</v>
      </c>
    </row>
    <row r="125" spans="1:6" ht="55" customHeight="1">
      <c r="A125" s="6" t="s">
        <v>788</v>
      </c>
      <c r="B125" s="6" t="s">
        <v>39</v>
      </c>
      <c r="C125" s="6" t="s">
        <v>596</v>
      </c>
      <c r="D125" s="6" t="s">
        <v>982</v>
      </c>
      <c r="E125" s="6" t="s">
        <v>987</v>
      </c>
      <c r="F125" s="6" t="s">
        <v>791</v>
      </c>
    </row>
    <row r="126" spans="1:6" ht="55" customHeight="1">
      <c r="A126" s="5" t="s">
        <v>788</v>
      </c>
      <c r="B126" s="5" t="s">
        <v>39</v>
      </c>
      <c r="C126" s="5" t="s">
        <v>596</v>
      </c>
      <c r="D126" s="5" t="s">
        <v>982</v>
      </c>
      <c r="E126" s="5" t="s">
        <v>988</v>
      </c>
      <c r="F126" s="5" t="s">
        <v>791</v>
      </c>
    </row>
    <row r="127" spans="1:6" ht="55" customHeight="1">
      <c r="A127" s="6" t="s">
        <v>788</v>
      </c>
      <c r="B127" s="6" t="s">
        <v>39</v>
      </c>
      <c r="C127" s="6" t="s">
        <v>596</v>
      </c>
      <c r="D127" s="6" t="s">
        <v>982</v>
      </c>
      <c r="E127" s="6" t="s">
        <v>989</v>
      </c>
      <c r="F127" s="6" t="s">
        <v>791</v>
      </c>
    </row>
    <row r="128" spans="1:6" ht="55" customHeight="1">
      <c r="A128" s="5" t="s">
        <v>788</v>
      </c>
      <c r="B128" s="5" t="s">
        <v>39</v>
      </c>
      <c r="C128" s="5" t="s">
        <v>596</v>
      </c>
      <c r="D128" s="5" t="s">
        <v>984</v>
      </c>
      <c r="E128" s="5" t="s">
        <v>990</v>
      </c>
      <c r="F128" s="5" t="s">
        <v>791</v>
      </c>
    </row>
    <row r="129" spans="1:6" ht="55" customHeight="1">
      <c r="A129" s="6" t="s">
        <v>788</v>
      </c>
      <c r="B129" s="6" t="s">
        <v>39</v>
      </c>
      <c r="C129" s="6" t="s">
        <v>596</v>
      </c>
      <c r="D129" s="6" t="s">
        <v>982</v>
      </c>
      <c r="E129" s="6" t="s">
        <v>991</v>
      </c>
      <c r="F129" s="6" t="s">
        <v>791</v>
      </c>
    </row>
    <row r="130" spans="1:6" ht="55" customHeight="1">
      <c r="A130" s="5" t="s">
        <v>788</v>
      </c>
      <c r="B130" s="5" t="s">
        <v>39</v>
      </c>
      <c r="C130" s="5" t="s">
        <v>596</v>
      </c>
      <c r="D130" s="5" t="s">
        <v>984</v>
      </c>
      <c r="E130" s="5" t="s">
        <v>992</v>
      </c>
      <c r="F130" s="5" t="s">
        <v>791</v>
      </c>
    </row>
    <row r="131" spans="1:6" ht="55" customHeight="1">
      <c r="A131" s="6" t="s">
        <v>788</v>
      </c>
      <c r="B131" s="6" t="s">
        <v>39</v>
      </c>
      <c r="C131" s="6" t="s">
        <v>596</v>
      </c>
      <c r="D131" s="6" t="s">
        <v>982</v>
      </c>
      <c r="E131" s="6" t="s">
        <v>993</v>
      </c>
      <c r="F131" s="6" t="s">
        <v>791</v>
      </c>
    </row>
    <row r="132" spans="1:6" ht="55" customHeight="1">
      <c r="A132" s="5" t="s">
        <v>788</v>
      </c>
      <c r="B132" s="5" t="s">
        <v>39</v>
      </c>
      <c r="C132" s="5" t="s">
        <v>596</v>
      </c>
      <c r="D132" s="5" t="s">
        <v>982</v>
      </c>
      <c r="E132" s="5" t="s">
        <v>994</v>
      </c>
      <c r="F132" s="5" t="s">
        <v>791</v>
      </c>
    </row>
    <row r="133" spans="1:6" ht="55" customHeight="1">
      <c r="A133" s="6" t="s">
        <v>788</v>
      </c>
      <c r="B133" s="6" t="s">
        <v>39</v>
      </c>
      <c r="C133" s="6" t="s">
        <v>596</v>
      </c>
      <c r="D133" s="6" t="s">
        <v>982</v>
      </c>
      <c r="E133" s="6" t="s">
        <v>995</v>
      </c>
      <c r="F133" s="6" t="s">
        <v>791</v>
      </c>
    </row>
    <row r="134" spans="1:6" ht="55" customHeight="1">
      <c r="A134" s="5" t="s">
        <v>788</v>
      </c>
      <c r="B134" s="5" t="s">
        <v>39</v>
      </c>
      <c r="C134" s="5" t="s">
        <v>596</v>
      </c>
      <c r="D134" s="5" t="s">
        <v>982</v>
      </c>
      <c r="E134" s="5" t="s">
        <v>996</v>
      </c>
      <c r="F134" s="5" t="s">
        <v>791</v>
      </c>
    </row>
    <row r="135" spans="1:6" ht="55" customHeight="1">
      <c r="A135" s="6" t="s">
        <v>788</v>
      </c>
      <c r="B135" s="6" t="s">
        <v>39</v>
      </c>
      <c r="C135" s="6" t="s">
        <v>596</v>
      </c>
      <c r="D135" s="6" t="s">
        <v>997</v>
      </c>
      <c r="E135" s="6" t="s">
        <v>998</v>
      </c>
      <c r="F135" s="6" t="s">
        <v>791</v>
      </c>
    </row>
    <row r="136" spans="1:6" ht="55" customHeight="1">
      <c r="A136" s="5" t="s">
        <v>788</v>
      </c>
      <c r="B136" s="5" t="s">
        <v>39</v>
      </c>
      <c r="C136" s="5" t="s">
        <v>596</v>
      </c>
      <c r="D136" s="5" t="s">
        <v>999</v>
      </c>
      <c r="E136" s="5" t="s">
        <v>1000</v>
      </c>
      <c r="F136" s="5" t="s">
        <v>791</v>
      </c>
    </row>
    <row r="137" spans="1:6" ht="55" customHeight="1">
      <c r="A137" s="6" t="s">
        <v>788</v>
      </c>
      <c r="B137" s="6" t="s">
        <v>39</v>
      </c>
      <c r="C137" s="6" t="s">
        <v>596</v>
      </c>
      <c r="D137" s="6" t="s">
        <v>1001</v>
      </c>
      <c r="E137" s="6" t="s">
        <v>1002</v>
      </c>
      <c r="F137" s="6" t="s">
        <v>791</v>
      </c>
    </row>
    <row r="138" spans="1:6" ht="57" customHeight="1">
      <c r="A138" s="5" t="s">
        <v>779</v>
      </c>
      <c r="B138" s="5" t="s">
        <v>31</v>
      </c>
      <c r="C138" s="5" t="s">
        <v>587</v>
      </c>
      <c r="D138" s="5" t="s">
        <v>616</v>
      </c>
      <c r="E138" s="5" t="s">
        <v>1003</v>
      </c>
      <c r="F138" s="5" t="s">
        <v>781</v>
      </c>
    </row>
    <row r="139" spans="1:6" ht="102" customHeight="1">
      <c r="A139" s="6" t="s">
        <v>779</v>
      </c>
      <c r="B139" s="6" t="s">
        <v>31</v>
      </c>
      <c r="C139" s="6" t="s">
        <v>587</v>
      </c>
      <c r="D139" s="6" t="s">
        <v>1004</v>
      </c>
      <c r="E139" s="6" t="s">
        <v>1005</v>
      </c>
      <c r="F139" s="6" t="s">
        <v>781</v>
      </c>
    </row>
    <row r="140" spans="1:6" ht="57" customHeight="1">
      <c r="A140" s="5" t="s">
        <v>779</v>
      </c>
      <c r="B140" s="5" t="s">
        <v>31</v>
      </c>
      <c r="C140" s="5" t="s">
        <v>587</v>
      </c>
      <c r="D140" s="5" t="s">
        <v>601</v>
      </c>
      <c r="E140" s="5" t="s">
        <v>1006</v>
      </c>
      <c r="F140" s="5" t="s">
        <v>781</v>
      </c>
    </row>
    <row r="141" spans="1:6" ht="55" customHeight="1">
      <c r="A141" s="6" t="s">
        <v>779</v>
      </c>
      <c r="B141" s="6" t="s">
        <v>31</v>
      </c>
      <c r="C141" s="6" t="s">
        <v>587</v>
      </c>
      <c r="D141" s="6" t="s">
        <v>978</v>
      </c>
      <c r="E141" s="6" t="s">
        <v>1007</v>
      </c>
      <c r="F141" s="6" t="s">
        <v>781</v>
      </c>
    </row>
    <row r="142" spans="1:6" ht="57" customHeight="1">
      <c r="A142" s="5" t="s">
        <v>779</v>
      </c>
      <c r="B142" s="5" t="s">
        <v>31</v>
      </c>
      <c r="C142" s="5" t="s">
        <v>587</v>
      </c>
      <c r="D142" s="5" t="s">
        <v>823</v>
      </c>
      <c r="E142" s="5" t="s">
        <v>1008</v>
      </c>
      <c r="F142" s="5" t="s">
        <v>781</v>
      </c>
    </row>
    <row r="143" spans="1:6" ht="55" customHeight="1">
      <c r="A143" s="6" t="s">
        <v>788</v>
      </c>
      <c r="B143" s="6" t="s">
        <v>31</v>
      </c>
      <c r="C143" s="6" t="s">
        <v>587</v>
      </c>
      <c r="D143" s="6" t="s">
        <v>1009</v>
      </c>
      <c r="E143" s="6" t="s">
        <v>1010</v>
      </c>
      <c r="F143" s="6" t="s">
        <v>791</v>
      </c>
    </row>
    <row r="144" spans="1:6" ht="55" customHeight="1">
      <c r="A144" s="5" t="s">
        <v>788</v>
      </c>
      <c r="B144" s="5" t="s">
        <v>31</v>
      </c>
      <c r="C144" s="5" t="s">
        <v>587</v>
      </c>
      <c r="D144" s="5" t="s">
        <v>1011</v>
      </c>
      <c r="E144" s="5" t="s">
        <v>1012</v>
      </c>
      <c r="F144" s="5" t="s">
        <v>791</v>
      </c>
    </row>
    <row r="145" spans="1:6" ht="55" customHeight="1">
      <c r="A145" s="6" t="s">
        <v>788</v>
      </c>
      <c r="B145" s="6" t="s">
        <v>31</v>
      </c>
      <c r="C145" s="6" t="s">
        <v>587</v>
      </c>
      <c r="D145" s="6" t="s">
        <v>1013</v>
      </c>
      <c r="E145" s="6" t="s">
        <v>1014</v>
      </c>
      <c r="F145" s="6" t="s">
        <v>791</v>
      </c>
    </row>
    <row r="146" spans="1:6" ht="55" customHeight="1">
      <c r="A146" s="5" t="s">
        <v>788</v>
      </c>
      <c r="B146" s="5" t="s">
        <v>31</v>
      </c>
      <c r="C146" s="5" t="s">
        <v>587</v>
      </c>
      <c r="D146" s="5" t="s">
        <v>1015</v>
      </c>
      <c r="E146" s="5" t="s">
        <v>1016</v>
      </c>
      <c r="F146" s="5" t="s">
        <v>791</v>
      </c>
    </row>
    <row r="147" spans="1:6" ht="55" customHeight="1">
      <c r="A147" s="6" t="s">
        <v>788</v>
      </c>
      <c r="B147" s="6" t="s">
        <v>31</v>
      </c>
      <c r="C147" s="6" t="s">
        <v>587</v>
      </c>
      <c r="D147" s="6" t="s">
        <v>1017</v>
      </c>
      <c r="E147" s="6" t="s">
        <v>1018</v>
      </c>
      <c r="F147" s="6" t="s">
        <v>791</v>
      </c>
    </row>
    <row r="148" spans="1:6" ht="55" customHeight="1">
      <c r="A148" s="5" t="s">
        <v>788</v>
      </c>
      <c r="B148" s="5" t="s">
        <v>31</v>
      </c>
      <c r="C148" s="5" t="s">
        <v>587</v>
      </c>
      <c r="D148" s="5" t="s">
        <v>1019</v>
      </c>
      <c r="E148" s="5" t="s">
        <v>1020</v>
      </c>
      <c r="F148" s="5" t="s">
        <v>791</v>
      </c>
    </row>
    <row r="149" spans="1:6" ht="55" customHeight="1">
      <c r="A149" s="6" t="s">
        <v>788</v>
      </c>
      <c r="B149" s="6" t="s">
        <v>31</v>
      </c>
      <c r="C149" s="6" t="s">
        <v>587</v>
      </c>
      <c r="D149" s="6" t="s">
        <v>1021</v>
      </c>
      <c r="E149" s="6" t="s">
        <v>1022</v>
      </c>
      <c r="F149" s="6" t="s">
        <v>791</v>
      </c>
    </row>
    <row r="150" spans="1:6" ht="55" customHeight="1">
      <c r="A150" s="5" t="s">
        <v>788</v>
      </c>
      <c r="B150" s="5" t="s">
        <v>31</v>
      </c>
      <c r="C150" s="5" t="s">
        <v>587</v>
      </c>
      <c r="D150" s="5" t="s">
        <v>1023</v>
      </c>
      <c r="E150" s="5" t="s">
        <v>1024</v>
      </c>
      <c r="F150" s="5" t="s">
        <v>791</v>
      </c>
    </row>
    <row r="151" spans="1:6" ht="55" customHeight="1">
      <c r="A151" s="6" t="s">
        <v>788</v>
      </c>
      <c r="B151" s="6" t="s">
        <v>31</v>
      </c>
      <c r="C151" s="6" t="s">
        <v>587</v>
      </c>
      <c r="D151" s="6" t="s">
        <v>1017</v>
      </c>
      <c r="E151" s="6" t="s">
        <v>1018</v>
      </c>
      <c r="F151" s="6" t="s">
        <v>791</v>
      </c>
    </row>
    <row r="152" spans="1:6" ht="55" customHeight="1">
      <c r="A152" s="5" t="s">
        <v>788</v>
      </c>
      <c r="B152" s="5" t="s">
        <v>31</v>
      </c>
      <c r="C152" s="5" t="s">
        <v>587</v>
      </c>
      <c r="D152" s="5" t="s">
        <v>1025</v>
      </c>
      <c r="E152" s="5" t="s">
        <v>1026</v>
      </c>
      <c r="F152" s="5" t="s">
        <v>791</v>
      </c>
    </row>
    <row r="153" spans="1:6" ht="55" customHeight="1">
      <c r="A153" s="6" t="s">
        <v>788</v>
      </c>
      <c r="B153" s="6" t="s">
        <v>31</v>
      </c>
      <c r="C153" s="6" t="s">
        <v>587</v>
      </c>
      <c r="D153" s="6" t="s">
        <v>1027</v>
      </c>
      <c r="E153" s="6" t="s">
        <v>1028</v>
      </c>
      <c r="F153" s="6" t="s">
        <v>791</v>
      </c>
    </row>
    <row r="154" spans="1:6" ht="55" customHeight="1">
      <c r="A154" s="5" t="s">
        <v>788</v>
      </c>
      <c r="B154" s="5" t="s">
        <v>31</v>
      </c>
      <c r="C154" s="5" t="s">
        <v>587</v>
      </c>
      <c r="D154" s="5" t="s">
        <v>1029</v>
      </c>
      <c r="E154" s="5" t="s">
        <v>1030</v>
      </c>
      <c r="F154" s="5" t="s">
        <v>791</v>
      </c>
    </row>
    <row r="155" spans="1:6" ht="55" customHeight="1">
      <c r="A155" s="6" t="s">
        <v>788</v>
      </c>
      <c r="B155" s="6" t="s">
        <v>31</v>
      </c>
      <c r="C155" s="6" t="s">
        <v>587</v>
      </c>
      <c r="D155" s="6" t="s">
        <v>1031</v>
      </c>
      <c r="E155" s="6" t="s">
        <v>817</v>
      </c>
      <c r="F155" s="6" t="s">
        <v>791</v>
      </c>
    </row>
    <row r="156" spans="1:6" ht="55" customHeight="1">
      <c r="A156" s="5" t="s">
        <v>779</v>
      </c>
      <c r="B156" s="5" t="s">
        <v>12</v>
      </c>
      <c r="C156" s="5" t="s">
        <v>568</v>
      </c>
      <c r="D156" s="5" t="s">
        <v>1032</v>
      </c>
      <c r="E156" s="5" t="s">
        <v>1033</v>
      </c>
      <c r="F156" s="5" t="s">
        <v>781</v>
      </c>
    </row>
    <row r="157" spans="1:6" ht="55" customHeight="1">
      <c r="A157" s="6" t="s">
        <v>779</v>
      </c>
      <c r="B157" s="6" t="s">
        <v>12</v>
      </c>
      <c r="C157" s="6" t="s">
        <v>568</v>
      </c>
      <c r="D157" s="6" t="s">
        <v>592</v>
      </c>
      <c r="E157" s="6" t="s">
        <v>1034</v>
      </c>
      <c r="F157" s="6" t="s">
        <v>781</v>
      </c>
    </row>
    <row r="158" spans="1:6" ht="57" customHeight="1">
      <c r="A158" s="5" t="s">
        <v>779</v>
      </c>
      <c r="B158" s="5" t="s">
        <v>12</v>
      </c>
      <c r="C158" s="5" t="s">
        <v>568</v>
      </c>
      <c r="D158" s="5" t="s">
        <v>569</v>
      </c>
      <c r="E158" s="5" t="s">
        <v>1035</v>
      </c>
      <c r="F158" s="5" t="s">
        <v>781</v>
      </c>
    </row>
    <row r="159" spans="1:6" ht="55" customHeight="1">
      <c r="A159" s="6" t="s">
        <v>779</v>
      </c>
      <c r="B159" s="6" t="s">
        <v>12</v>
      </c>
      <c r="C159" s="6" t="s">
        <v>568</v>
      </c>
      <c r="D159" s="6" t="s">
        <v>1036</v>
      </c>
      <c r="E159" s="6" t="s">
        <v>1037</v>
      </c>
      <c r="F159" s="6" t="s">
        <v>781</v>
      </c>
    </row>
    <row r="160" spans="1:6" ht="55" customHeight="1">
      <c r="A160" s="5" t="s">
        <v>779</v>
      </c>
      <c r="B160" s="5" t="s">
        <v>12</v>
      </c>
      <c r="C160" s="5" t="s">
        <v>568</v>
      </c>
      <c r="D160" s="5" t="s">
        <v>1038</v>
      </c>
      <c r="E160" s="5" t="s">
        <v>1039</v>
      </c>
      <c r="F160" s="5" t="s">
        <v>781</v>
      </c>
    </row>
    <row r="161" spans="1:6" ht="55" customHeight="1">
      <c r="A161" s="6" t="s">
        <v>779</v>
      </c>
      <c r="B161" s="6" t="s">
        <v>12</v>
      </c>
      <c r="C161" s="6" t="s">
        <v>568</v>
      </c>
      <c r="D161" s="6" t="s">
        <v>874</v>
      </c>
      <c r="E161" s="6" t="s">
        <v>1040</v>
      </c>
      <c r="F161" s="6" t="s">
        <v>781</v>
      </c>
    </row>
    <row r="162" spans="1:6" ht="55" customHeight="1">
      <c r="A162" s="5" t="s">
        <v>779</v>
      </c>
      <c r="B162" s="5" t="s">
        <v>12</v>
      </c>
      <c r="C162" s="5" t="s">
        <v>568</v>
      </c>
      <c r="D162" s="5" t="s">
        <v>766</v>
      </c>
      <c r="E162" s="5" t="s">
        <v>1041</v>
      </c>
      <c r="F162" s="5" t="s">
        <v>781</v>
      </c>
    </row>
    <row r="163" spans="1:6" ht="55" customHeight="1">
      <c r="A163" s="6" t="s">
        <v>779</v>
      </c>
      <c r="B163" s="6" t="s">
        <v>12</v>
      </c>
      <c r="C163" s="6" t="s">
        <v>568</v>
      </c>
      <c r="D163" s="6" t="s">
        <v>758</v>
      </c>
      <c r="E163" s="6" t="s">
        <v>1042</v>
      </c>
      <c r="F163" s="6" t="s">
        <v>781</v>
      </c>
    </row>
    <row r="164" spans="1:6" ht="55" customHeight="1">
      <c r="A164" s="5" t="s">
        <v>788</v>
      </c>
      <c r="B164" s="5" t="s">
        <v>12</v>
      </c>
      <c r="C164" s="5" t="s">
        <v>568</v>
      </c>
      <c r="D164" s="5" t="s">
        <v>1043</v>
      </c>
      <c r="E164" s="5" t="s">
        <v>1044</v>
      </c>
      <c r="F164" s="5" t="s">
        <v>791</v>
      </c>
    </row>
    <row r="165" spans="1:6" ht="55" customHeight="1">
      <c r="A165" s="6" t="s">
        <v>788</v>
      </c>
      <c r="B165" s="6" t="s">
        <v>12</v>
      </c>
      <c r="C165" s="6" t="s">
        <v>568</v>
      </c>
      <c r="D165" s="6" t="s">
        <v>1045</v>
      </c>
      <c r="E165" s="6" t="s">
        <v>1046</v>
      </c>
      <c r="F165" s="6" t="s">
        <v>791</v>
      </c>
    </row>
    <row r="166" spans="1:6" ht="55" customHeight="1">
      <c r="A166" s="5" t="s">
        <v>788</v>
      </c>
      <c r="B166" s="5" t="s">
        <v>12</v>
      </c>
      <c r="C166" s="5" t="s">
        <v>568</v>
      </c>
      <c r="D166" s="5" t="s">
        <v>1047</v>
      </c>
      <c r="E166" s="5" t="s">
        <v>1048</v>
      </c>
      <c r="F166" s="5" t="s">
        <v>791</v>
      </c>
    </row>
    <row r="167" spans="1:6" ht="55" customHeight="1">
      <c r="A167" s="6" t="s">
        <v>788</v>
      </c>
      <c r="B167" s="6" t="s">
        <v>12</v>
      </c>
      <c r="C167" s="6" t="s">
        <v>568</v>
      </c>
      <c r="D167" s="6" t="s">
        <v>1049</v>
      </c>
      <c r="E167" s="6" t="s">
        <v>1050</v>
      </c>
      <c r="F167" s="6" t="s">
        <v>791</v>
      </c>
    </row>
    <row r="168" spans="1:6" ht="55" customHeight="1">
      <c r="A168" s="5" t="s">
        <v>788</v>
      </c>
      <c r="B168" s="5" t="s">
        <v>12</v>
      </c>
      <c r="C168" s="5" t="s">
        <v>568</v>
      </c>
      <c r="D168" s="5" t="s">
        <v>1051</v>
      </c>
      <c r="E168" s="5" t="s">
        <v>1052</v>
      </c>
      <c r="F168" s="5" t="s">
        <v>791</v>
      </c>
    </row>
    <row r="169" spans="1:6" ht="55" customHeight="1">
      <c r="A169" s="6" t="s">
        <v>788</v>
      </c>
      <c r="B169" s="6" t="s">
        <v>12</v>
      </c>
      <c r="C169" s="6" t="s">
        <v>568</v>
      </c>
      <c r="D169" s="6" t="s">
        <v>1053</v>
      </c>
      <c r="E169" s="6" t="s">
        <v>1054</v>
      </c>
      <c r="F169" s="6" t="s">
        <v>791</v>
      </c>
    </row>
    <row r="170" spans="1:6" ht="55" customHeight="1">
      <c r="A170" s="5" t="s">
        <v>788</v>
      </c>
      <c r="B170" s="5" t="s">
        <v>12</v>
      </c>
      <c r="C170" s="5" t="s">
        <v>568</v>
      </c>
      <c r="D170" s="5" t="s">
        <v>1055</v>
      </c>
      <c r="E170" s="5" t="s">
        <v>1056</v>
      </c>
      <c r="F170" s="5" t="s">
        <v>791</v>
      </c>
    </row>
    <row r="171" spans="1:6" ht="55" customHeight="1">
      <c r="A171" s="6" t="s">
        <v>788</v>
      </c>
      <c r="B171" s="6" t="s">
        <v>12</v>
      </c>
      <c r="C171" s="6" t="s">
        <v>568</v>
      </c>
      <c r="D171" s="6" t="s">
        <v>1057</v>
      </c>
      <c r="E171" s="6" t="s">
        <v>1058</v>
      </c>
      <c r="F171" s="6" t="s">
        <v>791</v>
      </c>
    </row>
    <row r="172" spans="1:6" ht="55" customHeight="1">
      <c r="A172" s="5" t="s">
        <v>788</v>
      </c>
      <c r="B172" s="5" t="s">
        <v>12</v>
      </c>
      <c r="C172" s="5" t="s">
        <v>568</v>
      </c>
      <c r="D172" s="5" t="s">
        <v>1059</v>
      </c>
      <c r="E172" s="5" t="s">
        <v>1060</v>
      </c>
      <c r="F172" s="5" t="s">
        <v>791</v>
      </c>
    </row>
    <row r="173" spans="1:6" ht="55" customHeight="1">
      <c r="A173" s="6" t="s">
        <v>788</v>
      </c>
      <c r="B173" s="6" t="s">
        <v>12</v>
      </c>
      <c r="C173" s="6" t="s">
        <v>568</v>
      </c>
      <c r="D173" s="6" t="s">
        <v>1061</v>
      </c>
      <c r="E173" s="6" t="s">
        <v>1062</v>
      </c>
      <c r="F173" s="6" t="s">
        <v>791</v>
      </c>
    </row>
    <row r="174" spans="1:6" ht="55" customHeight="1">
      <c r="A174" s="5" t="s">
        <v>788</v>
      </c>
      <c r="B174" s="5" t="s">
        <v>12</v>
      </c>
      <c r="C174" s="5" t="s">
        <v>568</v>
      </c>
      <c r="D174" s="5" t="s">
        <v>1063</v>
      </c>
      <c r="E174" s="5" t="s">
        <v>1064</v>
      </c>
      <c r="F174" s="5" t="s">
        <v>791</v>
      </c>
    </row>
    <row r="175" spans="1:6" ht="25" customHeight="1">
      <c r="A175" s="1"/>
      <c r="B175" s="1"/>
      <c r="C175" s="1"/>
      <c r="D175" s="1"/>
      <c r="E175" s="1"/>
      <c r="F175" s="1"/>
    </row>
    <row r="176" spans="1:6" ht="25" customHeight="1">
      <c r="A176" s="1"/>
      <c r="B176" s="1"/>
      <c r="C176" s="1"/>
      <c r="D176" s="1"/>
      <c r="E176" s="1"/>
      <c r="F176" s="1"/>
    </row>
    <row r="177" spans="1:6" ht="25" customHeight="1">
      <c r="A177" s="1"/>
      <c r="B177" s="1"/>
      <c r="C177" s="1"/>
      <c r="D177" s="1"/>
      <c r="E177" s="1"/>
      <c r="F177" s="1"/>
    </row>
  </sheetData>
  <phoneticPr fontId="9" type="noConversion"/>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8</vt:i4>
      </vt:variant>
    </vt:vector>
  </HeadingPairs>
  <TitlesOfParts>
    <vt:vector size="8" baseType="lpstr">
      <vt:lpstr>总览与理性分析</vt:lpstr>
      <vt:lpstr>金额排序与图表</vt:lpstr>
      <vt:lpstr>兑现与现金流</vt:lpstr>
      <vt:lpstr>申报条件与流程</vt:lpstr>
      <vt:lpstr>配套与住房</vt:lpstr>
      <vt:lpstr>历史数据与边界</vt:lpstr>
      <vt:lpstr>政策金额数据</vt:lpstr>
      <vt:lpstr>原文与来源索引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11811</dc:creator>
  <dc:description/>
  <cp:lastModifiedBy>1181193159@qq.com</cp:lastModifiedBy>
  <cp:revision>0</cp:revision>
  <dcterms:created xsi:type="dcterms:W3CDTF">2026-10-10T06:14:32Z</dcterms:created>
  <dcterms:modified xsi:type="dcterms:W3CDTF">2026-10-10T06:14:32Z</dcterms:modified>
  <dc:language>en-US</dc:language>
</cp:coreProperties>
</file>